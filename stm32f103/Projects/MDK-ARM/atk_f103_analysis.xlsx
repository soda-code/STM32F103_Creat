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<sst xmlns="http://schemas.openxmlformats.org/spreadsheetml/2006/main" count="230" uniqueCount="190">
  <si>
    <t>atk_f103</t>
  </si>
  <si>
    <t>malloc.o</t>
  </si>
  <si>
    <t>heap_4.o</t>
  </si>
  <si>
    <t>startup_stm32f103xe.o</t>
  </si>
  <si>
    <t>usart.o</t>
  </si>
  <si>
    <t>tasks.o</t>
  </si>
  <si>
    <t>sdio_sdcard.o</t>
  </si>
  <si>
    <t>dma.o</t>
  </si>
  <si>
    <t>c_w.l</t>
  </si>
  <si>
    <t>libspace.o</t>
  </si>
  <si>
    <t>lcd.o</t>
  </si>
  <si>
    <t>btim.o</t>
  </si>
  <si>
    <t>queue.o</t>
  </si>
  <si>
    <t>timers.o</t>
  </si>
  <si>
    <t>lsens.o</t>
  </si>
  <si>
    <t>freertos_app.o</t>
  </si>
  <si>
    <t>rtc.o</t>
  </si>
  <si>
    <t>lsens_app.o</t>
  </si>
  <si>
    <t>port.o</t>
  </si>
  <si>
    <t>debug_app.o</t>
  </si>
  <si>
    <t>date_read_app.o</t>
  </si>
  <si>
    <t>radar_app_1.o</t>
  </si>
  <si>
    <t>stm32f1xx_hal.o</t>
  </si>
  <si>
    <t>run_log_app.o</t>
  </si>
  <si>
    <t>ff.o</t>
  </si>
  <si>
    <t>system_stm32f1xx.o</t>
  </si>
  <si>
    <t>exfuns.o</t>
  </si>
  <si>
    <t>delay.o</t>
  </si>
  <si>
    <t>waring_sound_app.o</t>
  </si>
  <si>
    <t>led_app.o</t>
  </si>
  <si>
    <t>key_app.o</t>
  </si>
  <si>
    <t>key.o</t>
  </si>
  <si>
    <t>fz_ws.l</t>
  </si>
  <si>
    <t>m_ws.l</t>
  </si>
  <si>
    <t>pow.o</t>
  </si>
  <si>
    <t>stm32f1xx_hal_sd.o</t>
  </si>
  <si>
    <t>stm32f1xx_ll_sdmmc.o</t>
  </si>
  <si>
    <t>btod.o</t>
  </si>
  <si>
    <t>stm32f1xx_hal_rcc.o</t>
  </si>
  <si>
    <t>stm32f1xx_hal_dma.o</t>
  </si>
  <si>
    <t>stm32f1xx_hal_adc.o</t>
  </si>
  <si>
    <t>stm32f1xx_hal_uart.o</t>
  </si>
  <si>
    <t>_printf_fp_dec.o</t>
  </si>
  <si>
    <t>stm32f1xx_hal_gpio.o</t>
  </si>
  <si>
    <t>daddsub_clz.o</t>
  </si>
  <si>
    <t>stm32f1xx_hal_tim.o</t>
  </si>
  <si>
    <t>_printf_fp_hex.o</t>
  </si>
  <si>
    <t>ddiv.o</t>
  </si>
  <si>
    <t>stm32f1xx_hal_rcc_ex.o</t>
  </si>
  <si>
    <t>dsqrt_noumaal.o</t>
  </si>
  <si>
    <t>faddsub_clz.o</t>
  </si>
  <si>
    <t>diskio.o</t>
  </si>
  <si>
    <t>__printf_flags_ss_wp.o</t>
  </si>
  <si>
    <t>fdiv.o</t>
  </si>
  <si>
    <t>stm32f1xx_hal_rtc.o</t>
  </si>
  <si>
    <t>bigflt0.o</t>
  </si>
  <si>
    <t>gui_app.o</t>
  </si>
  <si>
    <t>stm32f1xx_hal_cortex.o</t>
  </si>
  <si>
    <t>dmul.o</t>
  </si>
  <si>
    <t>lc_ctype_c.o</t>
  </si>
  <si>
    <t>stm32f1xx_hal_adc_ex.o</t>
  </si>
  <si>
    <t>fmul.o</t>
  </si>
  <si>
    <t>stm32f1xx_ll_fsmc.o</t>
  </si>
  <si>
    <t>led.o</t>
  </si>
  <si>
    <t>lludivv7m.o</t>
  </si>
  <si>
    <t>_printf_wctomb.o</t>
  </si>
  <si>
    <t>_printf_hex_int_ll_ptr.o</t>
  </si>
  <si>
    <t>_printf_intcommon.o</t>
  </si>
  <si>
    <t>poly.o</t>
  </si>
  <si>
    <t>radar.o</t>
  </si>
  <si>
    <t>dnaninf.o</t>
  </si>
  <si>
    <t>list.o</t>
  </si>
  <si>
    <t>fnaninf.o</t>
  </si>
  <si>
    <t>rt_memcpy_v6.o</t>
  </si>
  <si>
    <t>lludiv10.o</t>
  </si>
  <si>
    <t>strcmpv7m.o</t>
  </si>
  <si>
    <t>_printf_fp_infnan.o</t>
  </si>
  <si>
    <t>beep.o</t>
  </si>
  <si>
    <t>_printf_longlong_dec.o</t>
  </si>
  <si>
    <t>dleqf.o</t>
  </si>
  <si>
    <t>_printf_dec.o</t>
  </si>
  <si>
    <t>_printf_oct_int_ll.o</t>
  </si>
  <si>
    <t>drleqf.o</t>
  </si>
  <si>
    <t>fleqf.o</t>
  </si>
  <si>
    <t>feqf.o</t>
  </si>
  <si>
    <t>stm32f1xx_hal_sram.o</t>
  </si>
  <si>
    <t>retnan.o</t>
  </si>
  <si>
    <t>rt_memcpy_w.o</t>
  </si>
  <si>
    <t>d2f.o</t>
  </si>
  <si>
    <t>scalbn.o</t>
  </si>
  <si>
    <t>main.o</t>
  </si>
  <si>
    <t>memcmp.o</t>
  </si>
  <si>
    <t>f2d.o</t>
  </si>
  <si>
    <t>sys.o</t>
  </si>
  <si>
    <t>dflt_clz.o</t>
  </si>
  <si>
    <t>_printf_str.o</t>
  </si>
  <si>
    <t>rt_memclr_w.o</t>
  </si>
  <si>
    <t>_printf_pad.o</t>
  </si>
  <si>
    <t>sqrt.o</t>
  </si>
  <si>
    <t>sys_stackheap_outer.o</t>
  </si>
  <si>
    <t>llsdiv.o</t>
  </si>
  <si>
    <t>lc_numeric_c.o</t>
  </si>
  <si>
    <t>rt_memclr.o</t>
  </si>
  <si>
    <t>pc_cmd_app.o</t>
  </si>
  <si>
    <t>_wcrtomb.o</t>
  </si>
  <si>
    <t>dunder.o</t>
  </si>
  <si>
    <t>strlen.o</t>
  </si>
  <si>
    <t>vsnprintf.o</t>
  </si>
  <si>
    <t>__scatter.o</t>
  </si>
  <si>
    <t>trapv.o</t>
  </si>
  <si>
    <t>_printf_char_common.o</t>
  </si>
  <si>
    <t>stm32f1xx_hal_rtc_ex.o</t>
  </si>
  <si>
    <t>_printf_wchar.o</t>
  </si>
  <si>
    <t>_printf_char.o</t>
  </si>
  <si>
    <t>__2sprintf.o</t>
  </si>
  <si>
    <t>fpclassify.o</t>
  </si>
  <si>
    <t>_printf_charcount.o</t>
  </si>
  <si>
    <t>fflt_clz.o</t>
  </si>
  <si>
    <t>_printf_truncate.o</t>
  </si>
  <si>
    <t>_printf_char_file.o</t>
  </si>
  <si>
    <t>libinit2.o</t>
  </si>
  <si>
    <t>__scatter_zi.o</t>
  </si>
  <si>
    <t>__scatter_copy.o</t>
  </si>
  <si>
    <t>fcmpi.o</t>
  </si>
  <si>
    <t>dcmpi.o</t>
  </si>
  <si>
    <t>__2printf.o</t>
  </si>
  <si>
    <t>_rserrno.o</t>
  </si>
  <si>
    <t>strchr.o</t>
  </si>
  <si>
    <t>stm32f1xx_it.o</t>
  </si>
  <si>
    <t>exit.o</t>
  </si>
  <si>
    <t>dcheck1.o</t>
  </si>
  <si>
    <t>rt_ctype_table.o</t>
  </si>
  <si>
    <t>aeabi_memset.o</t>
  </si>
  <si>
    <t>_snputc.o</t>
  </si>
  <si>
    <t>__printf_wp.o</t>
  </si>
  <si>
    <t>dretinf.o</t>
  </si>
  <si>
    <t>__rtentry2.o</t>
  </si>
  <si>
    <t>stm32f1xx_hal_pwr.o</t>
  </si>
  <si>
    <t>fretinf.o</t>
  </si>
  <si>
    <t>rtexit2.o</t>
  </si>
  <si>
    <t>_sputc.o</t>
  </si>
  <si>
    <t>_printf_ll.o</t>
  </si>
  <si>
    <t>_printf_l.o</t>
  </si>
  <si>
    <t>qnan.o</t>
  </si>
  <si>
    <t>rt_locale_intlibspace.o</t>
  </si>
  <si>
    <t>rt_errno_addr_intlibspace.o</t>
  </si>
  <si>
    <t>ferror.o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</si>
  <si>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</si>
  <si>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</si>
  <si>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</si>
  <si>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</si>
  <si>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</si>
  <si>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</si>
  <si>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</si>
  <si>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</si>
  <si>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</si>
  <si>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</si>
  <si>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</si>
  <si>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</si>
  <si>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</si>
  <si>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</si>
  <si>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</si>
  <si>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</si>
  <si>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</si>
  <si>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</si>
  <si>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</si>
  <si>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</si>
  <si>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</si>
  <si>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</si>
  <si>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</si>
  <si>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</si>
  <si>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</si>
  <si>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</si>
  <si>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stm32f1xx_hal_tim_ex.o</t>
  </si>
  <si>
    <t>use_no_semi_2.o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</si>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</sst>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ram_percent!$A$3:$A$182</c:f>
              <c:strCache>
                <c:ptCount val="180"/>
                <c:pt idx="0">
                  <c:v>malloc.o</c:v>
                </c:pt>
                <c:pt idx="1">
                  <c:v>heap_4.o</c:v>
                </c:pt>
                <c:pt idx="2">
                  <c:v>startup_stm32f103xe.o</c:v>
                </c:pt>
                <c:pt idx="3">
                  <c:v>usart.o</c:v>
                </c:pt>
                <c:pt idx="4">
                  <c:v>tasks.o</c:v>
                </c:pt>
                <c:pt idx="5">
                  <c:v>sdio_sdcard.o</c:v>
                </c:pt>
                <c:pt idx="6">
                  <c:v>dma.o</c:v>
                </c:pt>
                <c:pt idx="7">
                  <c:v>c_w.l</c:v>
                </c:pt>
                <c:pt idx="8">
                  <c:v>libspace.o</c:v>
                </c:pt>
                <c:pt idx="9">
                  <c:v>lcd.o</c:v>
                </c:pt>
                <c:pt idx="10">
                  <c:v>btim.o</c:v>
                </c:pt>
                <c:pt idx="11">
                  <c:v>queue.o</c:v>
                </c:pt>
                <c:pt idx="12">
                  <c:v>timers.o</c:v>
                </c:pt>
                <c:pt idx="13">
                  <c:v>lsens.o</c:v>
                </c:pt>
                <c:pt idx="14">
                  <c:v>freertos_app.o</c:v>
                </c:pt>
                <c:pt idx="15">
                  <c:v>rtc.o</c:v>
                </c:pt>
                <c:pt idx="16">
                  <c:v>lsens_app.o</c:v>
                </c:pt>
                <c:pt idx="17">
                  <c:v>port.o</c:v>
                </c:pt>
                <c:pt idx="18">
                  <c:v>debug_app.o</c:v>
                </c:pt>
                <c:pt idx="19">
                  <c:v>date_read_app.o</c:v>
                </c:pt>
                <c:pt idx="20">
                  <c:v>radar_app_1.o</c:v>
                </c:pt>
                <c:pt idx="21">
                  <c:v>stm32f1xx_hal.o</c:v>
                </c:pt>
                <c:pt idx="22">
                  <c:v>run_log_app.o</c:v>
                </c:pt>
                <c:pt idx="23">
                  <c:v>ff.o</c:v>
                </c:pt>
                <c:pt idx="24">
                  <c:v>system_stm32f1xx.o</c:v>
                </c:pt>
                <c:pt idx="25">
                  <c:v>exfuns.o</c:v>
                </c:pt>
                <c:pt idx="26">
                  <c:v>delay.o</c:v>
                </c:pt>
                <c:pt idx="27">
                  <c:v>waring_sound_app.o</c:v>
                </c:pt>
                <c:pt idx="28">
                  <c:v>led_app.o</c:v>
                </c:pt>
                <c:pt idx="29">
                  <c:v>key_app.o</c:v>
                </c:pt>
                <c:pt idx="30">
                  <c:v>key.o</c:v>
                </c:pt>
                <c:pt idx="179">
                  <c:v>Totals</c:v>
                </c:pt>
              </c:strCache>
            </c:strRef>
          </c:cat>
          <c:val>
            <c:numRef>
              <c:f>ram_percent!$B$3:$B$182</c:f>
              <c:numCache>
                <c:formatCode>General</c:formatCode>
                <c:ptCount val="180"/>
                <c:pt idx="0">
                  <c:v>51.27239227294922</c:v>
                </c:pt>
                <c:pt idx="1">
                  <c:v>40.24564743041992</c:v>
                </c:pt>
                <c:pt idx="2">
                  <c:v>3.013714790344238</c:v>
                </c:pt>
                <c:pt idx="3">
                  <c:v>2.538897752761841</c:v>
                </c:pt>
                <c:pt idx="4">
                  <c:v>0.9496340751647949</c:v>
                </c:pt>
                <c:pt idx="5">
                  <c:v>0.3217768371105194</c:v>
                </c:pt>
                <c:pt idx="6">
                  <c:v>0.266839325428009</c:v>
                </c:pt>
                <c:pt idx="7">
                  <c:v>0.1883571743965149</c:v>
                </c:pt>
                <c:pt idx="8">
                  <c:v>0.1883571743965149</c:v>
                </c:pt>
                <c:pt idx="9">
                  <c:v>0.1844330579042435</c:v>
                </c:pt>
                <c:pt idx="10">
                  <c:v>0.1432299315929413</c:v>
                </c:pt>
                <c:pt idx="11">
                  <c:v>0.1255714446306229</c:v>
                </c:pt>
                <c:pt idx="12">
                  <c:v>0.1177232339978218</c:v>
                </c:pt>
                <c:pt idx="13">
                  <c:v>0.09417858719825745</c:v>
                </c:pt>
                <c:pt idx="14">
                  <c:v>0.09417858719825745</c:v>
                </c:pt>
                <c:pt idx="15">
                  <c:v>0.06278572231531143</c:v>
                </c:pt>
                <c:pt idx="16">
                  <c:v>0.03139286115765572</c:v>
                </c:pt>
                <c:pt idx="17">
                  <c:v>0.02354464679956436</c:v>
                </c:pt>
                <c:pt idx="18">
                  <c:v>0.02354464679956436</c:v>
                </c:pt>
                <c:pt idx="19">
                  <c:v>0.02158259227871895</c:v>
                </c:pt>
                <c:pt idx="20">
                  <c:v>0.01962053962051868</c:v>
                </c:pt>
                <c:pt idx="21">
                  <c:v>0.01765848509967327</c:v>
                </c:pt>
                <c:pt idx="22">
                  <c:v>0.01569643057882786</c:v>
                </c:pt>
                <c:pt idx="23">
                  <c:v>0.01177232339978218</c:v>
                </c:pt>
                <c:pt idx="24">
                  <c:v>0.007848215289413929</c:v>
                </c:pt>
                <c:pt idx="25">
                  <c:v>0.007848215289413929</c:v>
                </c:pt>
                <c:pt idx="26">
                  <c:v>0.003924107644706965</c:v>
                </c:pt>
                <c:pt idx="27">
                  <c:v>0.001962053822353482</c:v>
                </c:pt>
                <c:pt idx="28">
                  <c:v>0.001962053822353482</c:v>
                </c:pt>
                <c:pt idx="29">
                  <c:v>0.001962053822353482</c:v>
                </c:pt>
                <c:pt idx="30">
                  <c:v>0.001962053822353482</c:v>
                </c:pt>
                <c:pt idx="17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flash_percent!$A$3:$A$182</c:f>
              <c:strCache>
                <c:ptCount val="180"/>
                <c:pt idx="0">
                  <c:v>lcd.o</c:v>
                </c:pt>
                <c:pt idx="1">
                  <c:v>c_w.l</c:v>
                </c:pt>
                <c:pt idx="2">
                  <c:v>ff.o</c:v>
                </c:pt>
                <c:pt idx="3">
                  <c:v>fz_ws.l</c:v>
                </c:pt>
                <c:pt idx="4">
                  <c:v>tasks.o</c:v>
                </c:pt>
                <c:pt idx="5">
                  <c:v>m_ws.l</c:v>
                </c:pt>
                <c:pt idx="6">
                  <c:v>pow.o</c:v>
                </c:pt>
                <c:pt idx="7">
                  <c:v>queue.o</c:v>
                </c:pt>
                <c:pt idx="8">
                  <c:v>stm32f1xx_hal_sd.o</c:v>
                </c:pt>
                <c:pt idx="9">
                  <c:v>stm32f1xx_ll_sdmmc.o</c:v>
                </c:pt>
                <c:pt idx="10">
                  <c:v>btod.o</c:v>
                </c:pt>
                <c:pt idx="11">
                  <c:v>stm32f1xx_hal_rcc.o</c:v>
                </c:pt>
                <c:pt idx="12">
                  <c:v>stm32f1xx_hal_dma.o</c:v>
                </c:pt>
                <c:pt idx="13">
                  <c:v>stm32f1xx_hal_adc.o</c:v>
                </c:pt>
                <c:pt idx="14">
                  <c:v>stm32f1xx_hal_uart.o</c:v>
                </c:pt>
                <c:pt idx="15">
                  <c:v>timers.o</c:v>
                </c:pt>
                <c:pt idx="16">
                  <c:v>rtc.o</c:v>
                </c:pt>
                <c:pt idx="17">
                  <c:v>port.o</c:v>
                </c:pt>
                <c:pt idx="18">
                  <c:v>_printf_fp_dec.o</c:v>
                </c:pt>
                <c:pt idx="19">
                  <c:v>stm32f1xx_hal_gpio.o</c:v>
                </c:pt>
                <c:pt idx="20">
                  <c:v>heap_4.o</c:v>
                </c:pt>
                <c:pt idx="21">
                  <c:v>daddsub_clz.o</c:v>
                </c:pt>
                <c:pt idx="22">
                  <c:v>stm32f1xx_hal_tim.o</c:v>
                </c:pt>
                <c:pt idx="23">
                  <c:v>_printf_fp_hex.o</c:v>
                </c:pt>
                <c:pt idx="24">
                  <c:v>freertos_app.o</c:v>
                </c:pt>
                <c:pt idx="25">
                  <c:v>sdio_sdcard.o</c:v>
                </c:pt>
                <c:pt idx="26">
                  <c:v>ddiv.o</c:v>
                </c:pt>
                <c:pt idx="27">
                  <c:v>run_log_app.o</c:v>
                </c:pt>
                <c:pt idx="28">
                  <c:v>usart.o</c:v>
                </c:pt>
                <c:pt idx="29">
                  <c:v>stm32f1xx_hal_rcc_ex.o</c:v>
                </c:pt>
                <c:pt idx="30">
                  <c:v>dsqrt_noumaal.o</c:v>
                </c:pt>
                <c:pt idx="31">
                  <c:v>lsens.o</c:v>
                </c:pt>
                <c:pt idx="32">
                  <c:v>faddsub_clz.o</c:v>
                </c:pt>
                <c:pt idx="33">
                  <c:v>diskio.o</c:v>
                </c:pt>
                <c:pt idx="34">
                  <c:v>__printf_flags_ss_wp.o</c:v>
                </c:pt>
                <c:pt idx="35">
                  <c:v>fdiv.o</c:v>
                </c:pt>
                <c:pt idx="36">
                  <c:v>stm32f1xx_hal_rtc.o</c:v>
                </c:pt>
                <c:pt idx="37">
                  <c:v>bigflt0.o</c:v>
                </c:pt>
                <c:pt idx="38">
                  <c:v>malloc.o</c:v>
                </c:pt>
                <c:pt idx="39">
                  <c:v>startup_stm32f103xe.o</c:v>
                </c:pt>
                <c:pt idx="40">
                  <c:v>gui_app.o</c:v>
                </c:pt>
                <c:pt idx="41">
                  <c:v>key.o</c:v>
                </c:pt>
                <c:pt idx="42">
                  <c:v>stm32f1xx_hal_cortex.o</c:v>
                </c:pt>
                <c:pt idx="43">
                  <c:v>dmul.o</c:v>
                </c:pt>
                <c:pt idx="44">
                  <c:v>lc_ctype_c.o</c:v>
                </c:pt>
                <c:pt idx="45">
                  <c:v>radar_app_1.o</c:v>
                </c:pt>
                <c:pt idx="46">
                  <c:v>stm32f1xx_hal_adc_ex.o</c:v>
                </c:pt>
                <c:pt idx="47">
                  <c:v>fmul.o</c:v>
                </c:pt>
                <c:pt idx="48">
                  <c:v>stm32f1xx_ll_fsmc.o</c:v>
                </c:pt>
                <c:pt idx="49">
                  <c:v>led.o</c:v>
                </c:pt>
                <c:pt idx="50">
                  <c:v>lludivv7m.o</c:v>
                </c:pt>
                <c:pt idx="51">
                  <c:v>btim.o</c:v>
                </c:pt>
                <c:pt idx="52">
                  <c:v>stm32f1xx_hal.o</c:v>
                </c:pt>
                <c:pt idx="53">
                  <c:v>delay.o</c:v>
                </c:pt>
                <c:pt idx="54">
                  <c:v>_printf_wctomb.o</c:v>
                </c:pt>
                <c:pt idx="55">
                  <c:v>_printf_hex_int_ll_ptr.o</c:v>
                </c:pt>
                <c:pt idx="56">
                  <c:v>dma.o</c:v>
                </c:pt>
                <c:pt idx="57">
                  <c:v>lsens_app.o</c:v>
                </c:pt>
                <c:pt idx="58">
                  <c:v>_printf_intcommon.o</c:v>
                </c:pt>
                <c:pt idx="59">
                  <c:v>poly.o</c:v>
                </c:pt>
                <c:pt idx="60">
                  <c:v>radar.o</c:v>
                </c:pt>
                <c:pt idx="61">
                  <c:v>dnaninf.o</c:v>
                </c:pt>
                <c:pt idx="62">
                  <c:v>led_app.o</c:v>
                </c:pt>
                <c:pt idx="63">
                  <c:v>list.o</c:v>
                </c:pt>
                <c:pt idx="64">
                  <c:v>fnaninf.o</c:v>
                </c:pt>
                <c:pt idx="65">
                  <c:v>waring_sound_app.o</c:v>
                </c:pt>
                <c:pt idx="66">
                  <c:v>rt_memcpy_v6.o</c:v>
                </c:pt>
                <c:pt idx="67">
                  <c:v>lludiv10.o</c:v>
                </c:pt>
                <c:pt idx="68">
                  <c:v>strcmpv7m.o</c:v>
                </c:pt>
                <c:pt idx="69">
                  <c:v>_printf_fp_infnan.o</c:v>
                </c:pt>
                <c:pt idx="70">
                  <c:v>beep.o</c:v>
                </c:pt>
                <c:pt idx="71">
                  <c:v>_printf_longlong_dec.o</c:v>
                </c:pt>
                <c:pt idx="72">
                  <c:v>dleqf.o</c:v>
                </c:pt>
                <c:pt idx="73">
                  <c:v>_printf_dec.o</c:v>
                </c:pt>
                <c:pt idx="74">
                  <c:v>_printf_oct_int_ll.o</c:v>
                </c:pt>
                <c:pt idx="75">
                  <c:v>date_read_app.o</c:v>
                </c:pt>
                <c:pt idx="76">
                  <c:v>drleqf.o</c:v>
                </c:pt>
                <c:pt idx="77">
                  <c:v>fleqf.o</c:v>
                </c:pt>
                <c:pt idx="78">
                  <c:v>feqf.o</c:v>
                </c:pt>
                <c:pt idx="79">
                  <c:v>stm32f1xx_hal_sram.o</c:v>
                </c:pt>
                <c:pt idx="80">
                  <c:v>retnan.o</c:v>
                </c:pt>
                <c:pt idx="81">
                  <c:v>rt_memcpy_w.o</c:v>
                </c:pt>
                <c:pt idx="82">
                  <c:v>d2f.o</c:v>
                </c:pt>
                <c:pt idx="83">
                  <c:v>scalbn.o</c:v>
                </c:pt>
                <c:pt idx="84">
                  <c:v>main.o</c:v>
                </c:pt>
                <c:pt idx="85">
                  <c:v>memcmp.o</c:v>
                </c:pt>
                <c:pt idx="86">
                  <c:v>debug_app.o</c:v>
                </c:pt>
                <c:pt idx="87">
                  <c:v>f2d.o</c:v>
                </c:pt>
                <c:pt idx="88">
                  <c:v>sys.o</c:v>
                </c:pt>
                <c:pt idx="89">
                  <c:v>dflt_clz.o</c:v>
                </c:pt>
                <c:pt idx="90">
                  <c:v>_printf_str.o</c:v>
                </c:pt>
                <c:pt idx="91">
                  <c:v>rt_memclr_w.o</c:v>
                </c:pt>
                <c:pt idx="92">
                  <c:v>_printf_pad.o</c:v>
                </c:pt>
                <c:pt idx="93">
                  <c:v>sqrt.o</c:v>
                </c:pt>
                <c:pt idx="94">
                  <c:v>sys_stackheap_outer.o</c:v>
                </c:pt>
                <c:pt idx="95">
                  <c:v>llsdiv.o</c:v>
                </c:pt>
                <c:pt idx="96">
                  <c:v>lc_numeric_c.o</c:v>
                </c:pt>
                <c:pt idx="97">
                  <c:v>rt_memclr.o</c:v>
                </c:pt>
                <c:pt idx="98">
                  <c:v>pc_cmd_app.o</c:v>
                </c:pt>
                <c:pt idx="99">
                  <c:v>exfuns.o</c:v>
                </c:pt>
                <c:pt idx="100">
                  <c:v>_wcrtomb.o</c:v>
                </c:pt>
                <c:pt idx="101">
                  <c:v>dunder.o</c:v>
                </c:pt>
                <c:pt idx="102">
                  <c:v>strlen.o</c:v>
                </c:pt>
                <c:pt idx="103">
                  <c:v>vsnprintf.o</c:v>
                </c:pt>
                <c:pt idx="104">
                  <c:v>__scatter.o</c:v>
                </c:pt>
                <c:pt idx="105">
                  <c:v>trapv.o</c:v>
                </c:pt>
                <c:pt idx="106">
                  <c:v>_printf_char_common.o</c:v>
                </c:pt>
                <c:pt idx="107">
                  <c:v>stm32f1xx_hal_rtc_ex.o</c:v>
                </c:pt>
                <c:pt idx="108">
                  <c:v>_printf_wchar.o</c:v>
                </c:pt>
                <c:pt idx="109">
                  <c:v>_printf_char.o</c:v>
                </c:pt>
                <c:pt idx="110">
                  <c:v>__2sprintf.o</c:v>
                </c:pt>
                <c:pt idx="111">
                  <c:v>fpclassify.o</c:v>
                </c:pt>
                <c:pt idx="112">
                  <c:v>_printf_charcount.o</c:v>
                </c:pt>
                <c:pt idx="113">
                  <c:v>fflt_clz.o</c:v>
                </c:pt>
                <c:pt idx="114">
                  <c:v>key_app.o</c:v>
                </c:pt>
                <c:pt idx="115">
                  <c:v>_printf_truncate.o</c:v>
                </c:pt>
                <c:pt idx="116">
                  <c:v>_printf_char_file.o</c:v>
                </c:pt>
                <c:pt idx="117">
                  <c:v>libinit2.o</c:v>
                </c:pt>
                <c:pt idx="118">
                  <c:v>system_stm32f1xx.o</c:v>
                </c:pt>
                <c:pt idx="119">
                  <c:v>__scatter_zi.o</c:v>
                </c:pt>
                <c:pt idx="120">
                  <c:v>__scatter_copy.o</c:v>
                </c:pt>
                <c:pt idx="121">
                  <c:v>fcmpi.o</c:v>
                </c:pt>
                <c:pt idx="122">
                  <c:v>dcmpi.o</c:v>
                </c:pt>
                <c:pt idx="123">
                  <c:v>__2printf.o</c:v>
                </c:pt>
                <c:pt idx="124">
                  <c:v>_rserrno.o</c:v>
                </c:pt>
                <c:pt idx="125">
                  <c:v>strchr.o</c:v>
                </c:pt>
                <c:pt idx="126">
                  <c:v>stm32f1xx_it.o</c:v>
                </c:pt>
                <c:pt idx="127">
                  <c:v>exit.o</c:v>
                </c:pt>
                <c:pt idx="128">
                  <c:v>dcheck1.o</c:v>
                </c:pt>
                <c:pt idx="129">
                  <c:v>rt_ctype_table.o</c:v>
                </c:pt>
                <c:pt idx="130">
                  <c:v>aeabi_memset.o</c:v>
                </c:pt>
                <c:pt idx="131">
                  <c:v>_snputc.o</c:v>
                </c:pt>
                <c:pt idx="132">
                  <c:v>__printf_wp.o</c:v>
                </c:pt>
                <c:pt idx="133">
                  <c:v>dretinf.o</c:v>
                </c:pt>
                <c:pt idx="134">
                  <c:v>__rtentry2.o</c:v>
                </c:pt>
                <c:pt idx="135">
                  <c:v>stm32f1xx_hal_pwr.o</c:v>
                </c:pt>
                <c:pt idx="136">
                  <c:v>fretinf.o</c:v>
                </c:pt>
                <c:pt idx="137">
                  <c:v>rtexit2.o</c:v>
                </c:pt>
                <c:pt idx="138">
                  <c:v>_sputc.o</c:v>
                </c:pt>
                <c:pt idx="139">
                  <c:v>_printf_ll.o</c:v>
                </c:pt>
                <c:pt idx="140">
                  <c:v>_printf_l.o</c:v>
                </c:pt>
                <c:pt idx="141">
                  <c:v>qnan.o</c:v>
                </c:pt>
                <c:pt idx="142">
                  <c:v>rt_locale_intlibspace.o</c:v>
                </c:pt>
                <c:pt idx="143">
                  <c:v>rt_errno_addr_intlibspace.o</c:v>
                </c:pt>
                <c:pt idx="144">
                  <c:v>libspace.o</c:v>
                </c:pt>
                <c:pt idx="145">
                  <c:v>ferror.o</c:v>
                </c:pt>
                <c:pt idx="146">
                  <c:v>__main.o</c:v>
                </c:pt>
                <c:pt idx="147">
                  <c:v>heapauxi.o</c:v>
                </c:pt>
                <c:pt idx="148">
                  <c:v>_printf_x.o</c:v>
                </c:pt>
                <c:pt idx="149">
                  <c:v>_printf_u.o</c:v>
                </c:pt>
                <c:pt idx="150">
                  <c:v>_printf_s.o</c:v>
                </c:pt>
                <c:pt idx="151">
                  <c:v>_printf_p.o</c:v>
                </c:pt>
                <c:pt idx="152">
                  <c:v>_printf_o.o</c:v>
                </c:pt>
                <c:pt idx="153">
                  <c:v>_printf_n.o</c:v>
                </c:pt>
                <c:pt idx="154">
                  <c:v>_printf_ls.o</c:v>
                </c:pt>
                <c:pt idx="155">
                  <c:v>_printf_llx.o</c:v>
                </c:pt>
                <c:pt idx="156">
                  <c:v>_printf_llu.o</c:v>
                </c:pt>
                <c:pt idx="157">
                  <c:v>_printf_llo.o</c:v>
                </c:pt>
                <c:pt idx="158">
                  <c:v>_printf_lli.o</c:v>
                </c:pt>
                <c:pt idx="159">
                  <c:v>_printf_lld.o</c:v>
                </c:pt>
                <c:pt idx="160">
                  <c:v>_printf_lc.o</c:v>
                </c:pt>
                <c:pt idx="161">
                  <c:v>_printf_i.o</c:v>
                </c:pt>
                <c:pt idx="162">
                  <c:v>_printf_g.o</c:v>
                </c:pt>
                <c:pt idx="163">
                  <c:v>_printf_f.o</c:v>
                </c:pt>
                <c:pt idx="164">
                  <c:v>_printf_e.o</c:v>
                </c:pt>
                <c:pt idx="165">
                  <c:v>_printf_d.o</c:v>
                </c:pt>
                <c:pt idx="166">
                  <c:v>_printf_c.o</c:v>
                </c:pt>
                <c:pt idx="167">
                  <c:v>_printf_a.o</c:v>
                </c:pt>
                <c:pt idx="168">
                  <c:v>__rtentry4.o</c:v>
                </c:pt>
                <c:pt idx="169">
                  <c:v>printf2.o</c:v>
                </c:pt>
                <c:pt idx="170">
                  <c:v>printf1.o</c:v>
                </c:pt>
                <c:pt idx="171">
                  <c:v>_printf_percent_end.o</c:v>
                </c:pt>
                <c:pt idx="172">
                  <c:v>stm32f1xx_hal_tim_ex.o</c:v>
                </c:pt>
                <c:pt idx="173">
                  <c:v>use_no_semi_2.o</c:v>
                </c:pt>
                <c:pt idx="174">
                  <c:v>use_no_semi.o</c:v>
                </c:pt>
                <c:pt idx="175">
                  <c:v>rtexit.o</c:v>
                </c:pt>
                <c:pt idx="176">
                  <c:v>libshutdown2.o</c:v>
                </c:pt>
                <c:pt idx="177">
                  <c:v>libshutdown.o</c:v>
                </c:pt>
                <c:pt idx="178">
                  <c:v>libinit.o</c:v>
                </c:pt>
                <c:pt idx="179">
                  <c:v>Totals</c:v>
                </c:pt>
              </c:strCache>
            </c:strRef>
          </c:cat>
          <c:val>
            <c:numRef>
              <c:f>flash_percent!$B$3:$B$182</c:f>
              <c:numCache>
                <c:formatCode>General</c:formatCode>
                <c:ptCount val="180"/>
                <c:pt idx="0">
                  <c:v>16.0595645904541</c:v>
                </c:pt>
                <c:pt idx="1">
                  <c:v>9.62342643737793</c:v>
                </c:pt>
                <c:pt idx="2">
                  <c:v>6.904242038726807</c:v>
                </c:pt>
                <c:pt idx="3">
                  <c:v>5.531291961669922</c:v>
                </c:pt>
                <c:pt idx="4">
                  <c:v>4.639223098754883</c:v>
                </c:pt>
                <c:pt idx="5">
                  <c:v>3.49858283996582</c:v>
                </c:pt>
                <c:pt idx="6">
                  <c:v>3.085071802139282</c:v>
                </c:pt>
                <c:pt idx="7">
                  <c:v>2.90851640701294</c:v>
                </c:pt>
                <c:pt idx="8">
                  <c:v>2.89690089225769</c:v>
                </c:pt>
                <c:pt idx="9">
                  <c:v>2.320773124694824</c:v>
                </c:pt>
                <c:pt idx="10">
                  <c:v>2.248757123947144</c:v>
                </c:pt>
                <c:pt idx="11">
                  <c:v>2.072201728820801</c:v>
                </c:pt>
                <c:pt idx="12">
                  <c:v>1.956047058105469</c:v>
                </c:pt>
                <c:pt idx="13">
                  <c:v>1.932816028594971</c:v>
                </c:pt>
                <c:pt idx="14">
                  <c:v>1.726060509681702</c:v>
                </c:pt>
                <c:pt idx="15">
                  <c:v>1.700506448745728</c:v>
                </c:pt>
                <c:pt idx="16">
                  <c:v>1.519304871559143</c:v>
                </c:pt>
                <c:pt idx="17">
                  <c:v>1.38688850402832</c:v>
                </c:pt>
                <c:pt idx="18">
                  <c:v>1.224271655082703</c:v>
                </c:pt>
                <c:pt idx="19">
                  <c:v>1.022162318229675</c:v>
                </c:pt>
                <c:pt idx="20">
                  <c:v>1.022162318229675</c:v>
                </c:pt>
                <c:pt idx="21">
                  <c:v>0.9594387412071228</c:v>
                </c:pt>
                <c:pt idx="22">
                  <c:v>0.9501463770866394</c:v>
                </c:pt>
                <c:pt idx="23">
                  <c:v>0.9315615892410278</c:v>
                </c:pt>
                <c:pt idx="24">
                  <c:v>0.9222692251205444</c:v>
                </c:pt>
                <c:pt idx="25">
                  <c:v>0.9211076498031616</c:v>
                </c:pt>
                <c:pt idx="26">
                  <c:v>0.7991451025009155</c:v>
                </c:pt>
                <c:pt idx="27">
                  <c:v>0.7712679505348206</c:v>
                </c:pt>
                <c:pt idx="28">
                  <c:v>0.7294521927833557</c:v>
                </c:pt>
                <c:pt idx="29">
                  <c:v>0.7108674645423889</c:v>
                </c:pt>
                <c:pt idx="30">
                  <c:v>0.5343121290206909</c:v>
                </c:pt>
                <c:pt idx="31">
                  <c:v>0.506434977054596</c:v>
                </c:pt>
                <c:pt idx="32">
                  <c:v>0.499465674161911</c:v>
                </c:pt>
                <c:pt idx="33">
                  <c:v>0.4855270981788635</c:v>
                </c:pt>
                <c:pt idx="34">
                  <c:v>0.4750731885433197</c:v>
                </c:pt>
                <c:pt idx="35">
                  <c:v>0.450680673122406</c:v>
                </c:pt>
                <c:pt idx="36">
                  <c:v>0.450680673122406</c:v>
                </c:pt>
                <c:pt idx="37">
                  <c:v>0.4367420971393585</c:v>
                </c:pt>
                <c:pt idx="38">
                  <c:v>0.4320958852767944</c:v>
                </c:pt>
                <c:pt idx="39">
                  <c:v>0.4274497032165527</c:v>
                </c:pt>
                <c:pt idx="40">
                  <c:v>0.4088649451732636</c:v>
                </c:pt>
                <c:pt idx="41">
                  <c:v>0.4007340967655182</c:v>
                </c:pt>
                <c:pt idx="42">
                  <c:v>0.3995725512504578</c:v>
                </c:pt>
                <c:pt idx="43">
                  <c:v>0.3949263691902161</c:v>
                </c:pt>
                <c:pt idx="44">
                  <c:v>0.3670492172241211</c:v>
                </c:pt>
                <c:pt idx="45">
                  <c:v>0.3461413383483887</c:v>
                </c:pt>
                <c:pt idx="46">
                  <c:v>0.3020025193691254</c:v>
                </c:pt>
                <c:pt idx="47">
                  <c:v>0.2996793985366821</c:v>
                </c:pt>
                <c:pt idx="48">
                  <c:v>0.2950332164764404</c:v>
                </c:pt>
                <c:pt idx="49">
                  <c:v>0.2787715494632721</c:v>
                </c:pt>
                <c:pt idx="50">
                  <c:v>0.2764484584331513</c:v>
                </c:pt>
                <c:pt idx="51">
                  <c:v>0.2613483369350433</c:v>
                </c:pt>
                <c:pt idx="52">
                  <c:v>0.235794261097908</c:v>
                </c:pt>
                <c:pt idx="53">
                  <c:v>0.2299865186214447</c:v>
                </c:pt>
                <c:pt idx="54">
                  <c:v>0.2276634275913239</c:v>
                </c:pt>
                <c:pt idx="55">
                  <c:v>0.2183710485696793</c:v>
                </c:pt>
                <c:pt idx="56">
                  <c:v>0.2183710485696793</c:v>
                </c:pt>
                <c:pt idx="57">
                  <c:v>0.2090786546468735</c:v>
                </c:pt>
                <c:pt idx="58">
                  <c:v>0.2067555636167526</c:v>
                </c:pt>
                <c:pt idx="59">
                  <c:v>0.197463184595108</c:v>
                </c:pt>
                <c:pt idx="60">
                  <c:v>0.1904938966035843</c:v>
                </c:pt>
                <c:pt idx="61">
                  <c:v>0.1812015026807785</c:v>
                </c:pt>
                <c:pt idx="62">
                  <c:v>0.1730706691741943</c:v>
                </c:pt>
                <c:pt idx="63">
                  <c:v>0.1719091236591339</c:v>
                </c:pt>
                <c:pt idx="64">
                  <c:v>0.1626167297363281</c:v>
                </c:pt>
                <c:pt idx="65">
                  <c:v>0.1614551842212677</c:v>
                </c:pt>
                <c:pt idx="66">
                  <c:v>0.1602936387062073</c:v>
                </c:pt>
                <c:pt idx="67">
                  <c:v>0.1602936387062073</c:v>
                </c:pt>
                <c:pt idx="68">
                  <c:v>0.1486781537532806</c:v>
                </c:pt>
                <c:pt idx="69">
                  <c:v>0.1486781537532806</c:v>
                </c:pt>
                <c:pt idx="70">
                  <c:v>0.1486781537532806</c:v>
                </c:pt>
                <c:pt idx="71">
                  <c:v>0.1440319716930389</c:v>
                </c:pt>
                <c:pt idx="72">
                  <c:v>0.1393857747316361</c:v>
                </c:pt>
                <c:pt idx="73">
                  <c:v>0.1393857747316361</c:v>
                </c:pt>
                <c:pt idx="74">
                  <c:v>0.1300933957099915</c:v>
                </c:pt>
                <c:pt idx="75">
                  <c:v>0.126608744263649</c:v>
                </c:pt>
                <c:pt idx="76">
                  <c:v>0.1254471987485886</c:v>
                </c:pt>
                <c:pt idx="77">
                  <c:v>0.1208010017871857</c:v>
                </c:pt>
                <c:pt idx="78">
                  <c:v>0.1208010017871857</c:v>
                </c:pt>
                <c:pt idx="79">
                  <c:v>0.1184779107570648</c:v>
                </c:pt>
                <c:pt idx="80">
                  <c:v>0.1161548122763634</c:v>
                </c:pt>
                <c:pt idx="81">
                  <c:v>0.1161548122763634</c:v>
                </c:pt>
                <c:pt idx="82">
                  <c:v>0.1138317137956619</c:v>
                </c:pt>
                <c:pt idx="83">
                  <c:v>0.1068624258041382</c:v>
                </c:pt>
                <c:pt idx="84">
                  <c:v>0.1068624258041382</c:v>
                </c:pt>
                <c:pt idx="85">
                  <c:v>0.1022162362933159</c:v>
                </c:pt>
                <c:pt idx="86">
                  <c:v>0.1022162362933159</c:v>
                </c:pt>
                <c:pt idx="87">
                  <c:v>0.09989313781261444</c:v>
                </c:pt>
                <c:pt idx="88">
                  <c:v>0.09989313781261444</c:v>
                </c:pt>
                <c:pt idx="89">
                  <c:v>0.09757003933191299</c:v>
                </c:pt>
                <c:pt idx="90">
                  <c:v>0.09524694830179215</c:v>
                </c:pt>
                <c:pt idx="91">
                  <c:v>0.09060075134038925</c:v>
                </c:pt>
                <c:pt idx="92">
                  <c:v>0.09060075134038925</c:v>
                </c:pt>
                <c:pt idx="93">
                  <c:v>0.08827765285968781</c:v>
                </c:pt>
                <c:pt idx="94">
                  <c:v>0.08595456182956696</c:v>
                </c:pt>
                <c:pt idx="95">
                  <c:v>0.08363146334886551</c:v>
                </c:pt>
                <c:pt idx="96">
                  <c:v>0.08363146334886551</c:v>
                </c:pt>
                <c:pt idx="97">
                  <c:v>0.07898527383804321</c:v>
                </c:pt>
                <c:pt idx="98">
                  <c:v>0.07898527383804321</c:v>
                </c:pt>
                <c:pt idx="99">
                  <c:v>0.07898527383804321</c:v>
                </c:pt>
                <c:pt idx="100">
                  <c:v>0.07433907687664032</c:v>
                </c:pt>
                <c:pt idx="101">
                  <c:v>0.07201598584651947</c:v>
                </c:pt>
                <c:pt idx="102">
                  <c:v>0.07201598584651947</c:v>
                </c:pt>
                <c:pt idx="103">
                  <c:v>0.06040050089359283</c:v>
                </c:pt>
                <c:pt idx="104">
                  <c:v>0.06040050089359283</c:v>
                </c:pt>
                <c:pt idx="105">
                  <c:v>0.05575430765748024</c:v>
                </c:pt>
                <c:pt idx="106">
                  <c:v>0.05575430765748024</c:v>
                </c:pt>
                <c:pt idx="107">
                  <c:v>0.05575430765748024</c:v>
                </c:pt>
                <c:pt idx="108">
                  <c:v>0.05110811814665794</c:v>
                </c:pt>
                <c:pt idx="109">
                  <c:v>0.05110811814665794</c:v>
                </c:pt>
                <c:pt idx="110">
                  <c:v>0.05110811814665794</c:v>
                </c:pt>
                <c:pt idx="111">
                  <c:v>0.04646192491054535</c:v>
                </c:pt>
                <c:pt idx="112">
                  <c:v>0.04646192491054535</c:v>
                </c:pt>
                <c:pt idx="113">
                  <c:v>0.0441388264298439</c:v>
                </c:pt>
                <c:pt idx="114">
                  <c:v>0.04297728091478348</c:v>
                </c:pt>
                <c:pt idx="115">
                  <c:v>0.04181573167443276</c:v>
                </c:pt>
                <c:pt idx="116">
                  <c:v>0.04181573167443276</c:v>
                </c:pt>
                <c:pt idx="117">
                  <c:v>0.03484644368290901</c:v>
                </c:pt>
                <c:pt idx="118">
                  <c:v>0.03484644368290901</c:v>
                </c:pt>
                <c:pt idx="119">
                  <c:v>0.03252334892749786</c:v>
                </c:pt>
                <c:pt idx="120">
                  <c:v>0.03020025044679642</c:v>
                </c:pt>
                <c:pt idx="121">
                  <c:v>0.02787715382874012</c:v>
                </c:pt>
                <c:pt idx="122">
                  <c:v>0.02787715382874012</c:v>
                </c:pt>
                <c:pt idx="123">
                  <c:v>0.02787715382874012</c:v>
                </c:pt>
                <c:pt idx="124">
                  <c:v>0.02555405907332897</c:v>
                </c:pt>
                <c:pt idx="125">
                  <c:v>0.02323096245527268</c:v>
                </c:pt>
                <c:pt idx="126">
                  <c:v>0.02323096245527268</c:v>
                </c:pt>
                <c:pt idx="127">
                  <c:v>0.02090786583721638</c:v>
                </c:pt>
                <c:pt idx="128">
                  <c:v>0.01858476921916008</c:v>
                </c:pt>
                <c:pt idx="129">
                  <c:v>0.01858476921916008</c:v>
                </c:pt>
                <c:pt idx="130">
                  <c:v>0.01858476921916008</c:v>
                </c:pt>
                <c:pt idx="131">
                  <c:v>0.01858476921916008</c:v>
                </c:pt>
                <c:pt idx="132">
                  <c:v>0.01626167446374893</c:v>
                </c:pt>
                <c:pt idx="133">
                  <c:v>0.01393857691437006</c:v>
                </c:pt>
                <c:pt idx="134">
                  <c:v>0.01393857691437006</c:v>
                </c:pt>
                <c:pt idx="135">
                  <c:v>0.01393857691437006</c:v>
                </c:pt>
                <c:pt idx="136">
                  <c:v>0.01161548122763634</c:v>
                </c:pt>
                <c:pt idx="137">
                  <c:v>0.01161548122763634</c:v>
                </c:pt>
                <c:pt idx="138">
                  <c:v>0.01161548122763634</c:v>
                </c:pt>
                <c:pt idx="139">
                  <c:v>0.01161548122763634</c:v>
                </c:pt>
                <c:pt idx="140">
                  <c:v>0.01161548122763634</c:v>
                </c:pt>
                <c:pt idx="141">
                  <c:v>0.00929238460958004</c:v>
                </c:pt>
                <c:pt idx="142">
                  <c:v>0.00929238460958004</c:v>
                </c:pt>
                <c:pt idx="143">
                  <c:v>0.00929238460958004</c:v>
                </c:pt>
                <c:pt idx="144">
                  <c:v>0.00929238460958004</c:v>
                </c:pt>
                <c:pt idx="145">
                  <c:v>0.00929238460958004</c:v>
                </c:pt>
                <c:pt idx="146">
                  <c:v>0.00929238460958004</c:v>
                </c:pt>
                <c:pt idx="147">
                  <c:v>0.00696928845718503</c:v>
                </c:pt>
                <c:pt idx="148">
                  <c:v>0.00696928845718503</c:v>
                </c:pt>
                <c:pt idx="149">
                  <c:v>0.00696928845718503</c:v>
                </c:pt>
                <c:pt idx="150">
                  <c:v>0.00696928845718503</c:v>
                </c:pt>
                <c:pt idx="151">
                  <c:v>0.00696928845718503</c:v>
                </c:pt>
                <c:pt idx="152">
                  <c:v>0.00696928845718503</c:v>
                </c:pt>
                <c:pt idx="153">
                  <c:v>0.00696928845718503</c:v>
                </c:pt>
                <c:pt idx="154">
                  <c:v>0.00696928845718503</c:v>
                </c:pt>
                <c:pt idx="155">
                  <c:v>0.00696928845718503</c:v>
                </c:pt>
                <c:pt idx="156">
                  <c:v>0.00696928845718503</c:v>
                </c:pt>
                <c:pt idx="157">
                  <c:v>0.00696928845718503</c:v>
                </c:pt>
                <c:pt idx="158">
                  <c:v>0.00696928845718503</c:v>
                </c:pt>
                <c:pt idx="159">
                  <c:v>0.00696928845718503</c:v>
                </c:pt>
                <c:pt idx="160">
                  <c:v>0.00696928845718503</c:v>
                </c:pt>
                <c:pt idx="161">
                  <c:v>0.00696928845718503</c:v>
                </c:pt>
                <c:pt idx="162">
                  <c:v>0.00696928845718503</c:v>
                </c:pt>
                <c:pt idx="163">
                  <c:v>0.00696928845718503</c:v>
                </c:pt>
                <c:pt idx="164">
                  <c:v>0.00696928845718503</c:v>
                </c:pt>
                <c:pt idx="165">
                  <c:v>0.00696928845718503</c:v>
                </c:pt>
                <c:pt idx="166">
                  <c:v>0.00696928845718503</c:v>
                </c:pt>
                <c:pt idx="167">
                  <c:v>0.00696928845718503</c:v>
                </c:pt>
                <c:pt idx="168">
                  <c:v>0.00696928845718503</c:v>
                </c:pt>
                <c:pt idx="169">
                  <c:v>0.00464619230479002</c:v>
                </c:pt>
                <c:pt idx="170">
                  <c:v>0.00464619230479002</c:v>
                </c:pt>
                <c:pt idx="171">
                  <c:v>0.00464619230479002</c:v>
                </c:pt>
                <c:pt idx="172">
                  <c:v>0.00464619230479002</c:v>
                </c:pt>
                <c:pt idx="173">
                  <c:v>0.00232309615239501</c:v>
                </c:pt>
                <c:pt idx="174">
                  <c:v>0.00232309615239501</c:v>
                </c:pt>
                <c:pt idx="175">
                  <c:v>0.00232309615239501</c:v>
                </c:pt>
                <c:pt idx="176">
                  <c:v>0.00232309615239501</c:v>
                </c:pt>
                <c:pt idx="177">
                  <c:v>0.00232309615239501</c:v>
                </c:pt>
                <c:pt idx="178">
                  <c:v>0.00232309615239501</c:v>
                </c:pt>
                <c:pt idx="17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82" totalsRowCount="1">
  <autoFilter ref="A2:H18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82" totalsRowCount="1">
  <autoFilter ref="A2:H18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180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</row>
    <row r="3" spans="1:8">
      <c r="A3" s="1" t="s">
        <v>1</v>
      </c>
      <c r="B3" s="2">
        <v>51.27239227294922</v>
      </c>
      <c r="C3" s="1">
        <v>26132</v>
      </c>
      <c r="D3" s="1">
        <v>372</v>
      </c>
      <c r="E3" s="1">
        <v>340</v>
      </c>
      <c r="F3" s="1">
        <v>12</v>
      </c>
      <c r="G3" s="1">
        <v>20</v>
      </c>
      <c r="H3" s="1">
        <v>26112</v>
      </c>
    </row>
    <row r="4" spans="1:8">
      <c r="A4" s="1" t="s">
        <v>2</v>
      </c>
      <c r="B4" s="2">
        <v>40.24564743041992</v>
      </c>
      <c r="C4" s="1">
        <v>20512</v>
      </c>
      <c r="D4" s="1">
        <v>880</v>
      </c>
      <c r="E4" s="1">
        <v>848</v>
      </c>
      <c r="F4" s="1">
        <v>0</v>
      </c>
      <c r="G4" s="1">
        <v>32</v>
      </c>
      <c r="H4" s="1">
        <v>20480</v>
      </c>
    </row>
    <row r="5" spans="1:8">
      <c r="A5" s="1" t="s">
        <v>3</v>
      </c>
      <c r="B5" s="2">
        <v>3.013714790344238</v>
      </c>
      <c r="C5" s="1">
        <v>1536</v>
      </c>
      <c r="D5" s="1">
        <v>368</v>
      </c>
      <c r="E5" s="1">
        <v>64</v>
      </c>
      <c r="F5" s="1">
        <v>304</v>
      </c>
      <c r="G5" s="1">
        <v>0</v>
      </c>
      <c r="H5" s="1">
        <v>1536</v>
      </c>
    </row>
    <row r="6" spans="1:8">
      <c r="A6" s="1" t="s">
        <v>4</v>
      </c>
      <c r="B6" s="2">
        <v>2.538897752761841</v>
      </c>
      <c r="C6" s="1">
        <v>1294</v>
      </c>
      <c r="D6" s="1">
        <v>628</v>
      </c>
      <c r="E6" s="1">
        <v>620</v>
      </c>
      <c r="F6" s="1">
        <v>0</v>
      </c>
      <c r="G6" s="1">
        <v>8</v>
      </c>
      <c r="H6" s="1">
        <v>1286</v>
      </c>
    </row>
    <row r="7" spans="1:8">
      <c r="A7" s="1" t="s">
        <v>5</v>
      </c>
      <c r="B7" s="2">
        <v>0.9496340751647949</v>
      </c>
      <c r="C7" s="1">
        <v>484</v>
      </c>
      <c r="D7" s="1">
        <v>3994</v>
      </c>
      <c r="E7" s="1">
        <v>3930</v>
      </c>
      <c r="F7" s="1">
        <v>0</v>
      </c>
      <c r="G7" s="1">
        <v>64</v>
      </c>
      <c r="H7" s="1">
        <v>420</v>
      </c>
    </row>
    <row r="8" spans="1:8">
      <c r="A8" s="1" t="s">
        <v>6</v>
      </c>
      <c r="B8" s="2">
        <v>0.3217768371105194</v>
      </c>
      <c r="C8" s="1">
        <v>164</v>
      </c>
      <c r="D8" s="1">
        <v>793</v>
      </c>
      <c r="E8" s="1">
        <v>632</v>
      </c>
      <c r="F8" s="1">
        <v>161</v>
      </c>
      <c r="G8" s="1">
        <v>0</v>
      </c>
      <c r="H8" s="1">
        <v>164</v>
      </c>
    </row>
    <row r="9" spans="1:8">
      <c r="A9" s="1" t="s">
        <v>7</v>
      </c>
      <c r="B9" s="2">
        <v>0.266839325428009</v>
      </c>
      <c r="C9" s="1">
        <v>136</v>
      </c>
      <c r="D9" s="1">
        <v>188</v>
      </c>
      <c r="E9" s="1">
        <v>188</v>
      </c>
      <c r="F9" s="1">
        <v>0</v>
      </c>
      <c r="G9" s="1">
        <v>0</v>
      </c>
      <c r="H9" s="1">
        <v>136</v>
      </c>
    </row>
    <row r="10" spans="1:8">
      <c r="A10" s="1" t="s">
        <v>8</v>
      </c>
      <c r="B10" s="2">
        <v>0.1883571743965149</v>
      </c>
      <c r="C10" s="1">
        <v>96</v>
      </c>
      <c r="D10" s="1">
        <v>8285</v>
      </c>
      <c r="E10" s="1">
        <v>7734</v>
      </c>
      <c r="F10" s="1">
        <v>551</v>
      </c>
      <c r="G10" s="1">
        <v>0</v>
      </c>
      <c r="H10" s="1">
        <v>96</v>
      </c>
    </row>
    <row r="11" spans="1:8">
      <c r="A11" s="1" t="s">
        <v>9</v>
      </c>
      <c r="B11" s="2">
        <v>0.1883571743965149</v>
      </c>
      <c r="C11" s="1">
        <v>96</v>
      </c>
      <c r="D11" s="1">
        <v>8</v>
      </c>
      <c r="E11" s="1">
        <v>8</v>
      </c>
      <c r="F11" s="1">
        <v>0</v>
      </c>
      <c r="G11" s="1">
        <v>0</v>
      </c>
      <c r="H11" s="1">
        <v>96</v>
      </c>
    </row>
    <row r="12" spans="1:8">
      <c r="A12" s="1" t="s">
        <v>10</v>
      </c>
      <c r="B12" s="2">
        <v>0.1844330579042435</v>
      </c>
      <c r="C12" s="1">
        <v>94</v>
      </c>
      <c r="D12" s="1">
        <v>13826</v>
      </c>
      <c r="E12" s="1">
        <v>7738</v>
      </c>
      <c r="F12" s="1">
        <v>6080</v>
      </c>
      <c r="G12" s="1">
        <v>8</v>
      </c>
      <c r="H12" s="1">
        <v>86</v>
      </c>
    </row>
    <row r="13" spans="1:8">
      <c r="A13" s="1" t="s">
        <v>11</v>
      </c>
      <c r="B13" s="2">
        <v>0.1432299315929413</v>
      </c>
      <c r="C13" s="1">
        <v>73</v>
      </c>
      <c r="D13" s="1">
        <v>225</v>
      </c>
      <c r="E13" s="1">
        <v>224</v>
      </c>
      <c r="F13" s="1">
        <v>0</v>
      </c>
      <c r="G13" s="1">
        <v>1</v>
      </c>
      <c r="H13" s="1">
        <v>72</v>
      </c>
    </row>
    <row r="14" spans="1:8">
      <c r="A14" s="1" t="s">
        <v>12</v>
      </c>
      <c r="B14" s="2">
        <v>0.1255714446306229</v>
      </c>
      <c r="C14" s="1">
        <v>64</v>
      </c>
      <c r="D14" s="1">
        <v>2504</v>
      </c>
      <c r="E14" s="1">
        <v>2504</v>
      </c>
      <c r="F14" s="1">
        <v>0</v>
      </c>
      <c r="G14" s="1">
        <v>0</v>
      </c>
      <c r="H14" s="1">
        <v>64</v>
      </c>
    </row>
    <row r="15" spans="1:8">
      <c r="A15" s="1" t="s">
        <v>13</v>
      </c>
      <c r="B15" s="2">
        <v>0.1177232339978218</v>
      </c>
      <c r="C15" s="1">
        <v>60</v>
      </c>
      <c r="D15" s="1">
        <v>1464</v>
      </c>
      <c r="E15" s="1">
        <v>1444</v>
      </c>
      <c r="F15" s="1">
        <v>0</v>
      </c>
      <c r="G15" s="1">
        <v>20</v>
      </c>
      <c r="H15" s="1">
        <v>40</v>
      </c>
    </row>
    <row r="16" spans="1:8">
      <c r="A16" s="1" t="s">
        <v>14</v>
      </c>
      <c r="B16" s="2">
        <v>0.09417858719825745</v>
      </c>
      <c r="C16" s="1">
        <v>48</v>
      </c>
      <c r="D16" s="1">
        <v>436</v>
      </c>
      <c r="E16" s="1">
        <v>436</v>
      </c>
      <c r="F16" s="1">
        <v>0</v>
      </c>
      <c r="G16" s="1">
        <v>0</v>
      </c>
      <c r="H16" s="1">
        <v>48</v>
      </c>
    </row>
    <row r="17" spans="1:8">
      <c r="A17" s="1" t="s">
        <v>15</v>
      </c>
      <c r="B17" s="2">
        <v>0.09417858719825745</v>
      </c>
      <c r="C17" s="1">
        <v>48</v>
      </c>
      <c r="D17" s="1">
        <v>794</v>
      </c>
      <c r="E17" s="1">
        <v>746</v>
      </c>
      <c r="F17" s="1">
        <v>0</v>
      </c>
      <c r="G17" s="1">
        <v>48</v>
      </c>
      <c r="H17" s="1">
        <v>0</v>
      </c>
    </row>
    <row r="18" spans="1:8">
      <c r="A18" s="1" t="s">
        <v>16</v>
      </c>
      <c r="B18" s="2">
        <v>0.06278572231531143</v>
      </c>
      <c r="C18" s="1">
        <v>32</v>
      </c>
      <c r="D18" s="1">
        <v>1308</v>
      </c>
      <c r="E18" s="1">
        <v>1306</v>
      </c>
      <c r="F18" s="1">
        <v>0</v>
      </c>
      <c r="G18" s="1">
        <v>2</v>
      </c>
      <c r="H18" s="1">
        <v>30</v>
      </c>
    </row>
    <row r="19" spans="1:8">
      <c r="A19" s="1" t="s">
        <v>17</v>
      </c>
      <c r="B19" s="2">
        <v>0.03139286115765572</v>
      </c>
      <c r="C19" s="1">
        <v>16</v>
      </c>
      <c r="D19" s="1">
        <v>180</v>
      </c>
      <c r="E19" s="1">
        <v>180</v>
      </c>
      <c r="F19" s="1">
        <v>0</v>
      </c>
      <c r="G19" s="1">
        <v>0</v>
      </c>
      <c r="H19" s="1">
        <v>16</v>
      </c>
    </row>
    <row r="20" spans="1:8">
      <c r="A20" s="1" t="s">
        <v>18</v>
      </c>
      <c r="B20" s="2">
        <v>0.02354464679956436</v>
      </c>
      <c r="C20" s="1">
        <v>12</v>
      </c>
      <c r="D20" s="1">
        <v>1194</v>
      </c>
      <c r="E20" s="1">
        <v>1182</v>
      </c>
      <c r="F20" s="1">
        <v>0</v>
      </c>
      <c r="G20" s="1">
        <v>12</v>
      </c>
      <c r="H20" s="1">
        <v>0</v>
      </c>
    </row>
    <row r="21" spans="1:8">
      <c r="A21" s="1" t="s">
        <v>19</v>
      </c>
      <c r="B21" s="2">
        <v>0.02354464679956436</v>
      </c>
      <c r="C21" s="1">
        <v>12</v>
      </c>
      <c r="D21" s="1">
        <v>88</v>
      </c>
      <c r="E21" s="1">
        <v>76</v>
      </c>
      <c r="F21" s="1">
        <v>0</v>
      </c>
      <c r="G21" s="1">
        <v>12</v>
      </c>
      <c r="H21" s="1">
        <v>0</v>
      </c>
    </row>
    <row r="22" spans="1:8">
      <c r="A22" s="1" t="s">
        <v>20</v>
      </c>
      <c r="B22" s="2">
        <v>0.02158259227871895</v>
      </c>
      <c r="C22" s="1">
        <v>11</v>
      </c>
      <c r="D22" s="1">
        <v>109</v>
      </c>
      <c r="E22" s="1">
        <v>108</v>
      </c>
      <c r="F22" s="1">
        <v>0</v>
      </c>
      <c r="G22" s="1">
        <v>1</v>
      </c>
      <c r="H22" s="1">
        <v>10</v>
      </c>
    </row>
    <row r="23" spans="1:8">
      <c r="A23" s="1" t="s">
        <v>21</v>
      </c>
      <c r="B23" s="2">
        <v>0.01962053962051868</v>
      </c>
      <c r="C23" s="1">
        <v>10</v>
      </c>
      <c r="D23" s="1">
        <v>298</v>
      </c>
      <c r="E23" s="1">
        <v>288</v>
      </c>
      <c r="F23" s="1">
        <v>0</v>
      </c>
      <c r="G23" s="1">
        <v>10</v>
      </c>
      <c r="H23" s="1">
        <v>0</v>
      </c>
    </row>
    <row r="24" spans="1:8">
      <c r="A24" s="1" t="s">
        <v>22</v>
      </c>
      <c r="B24" s="2">
        <v>0.01765848509967327</v>
      </c>
      <c r="C24" s="1">
        <v>9</v>
      </c>
      <c r="D24" s="1">
        <v>203</v>
      </c>
      <c r="E24" s="1">
        <v>194</v>
      </c>
      <c r="F24" s="1">
        <v>0</v>
      </c>
      <c r="G24" s="1">
        <v>9</v>
      </c>
      <c r="H24" s="1">
        <v>0</v>
      </c>
    </row>
    <row r="25" spans="1:8">
      <c r="A25" s="1" t="s">
        <v>23</v>
      </c>
      <c r="B25" s="2">
        <v>0.01569643057882786</v>
      </c>
      <c r="C25" s="1">
        <v>8</v>
      </c>
      <c r="D25" s="1">
        <v>664</v>
      </c>
      <c r="E25" s="1">
        <v>656</v>
      </c>
      <c r="F25" s="1">
        <v>0</v>
      </c>
      <c r="G25" s="1">
        <v>8</v>
      </c>
      <c r="H25" s="1">
        <v>0</v>
      </c>
    </row>
    <row r="26" spans="1:8">
      <c r="A26" s="1" t="s">
        <v>24</v>
      </c>
      <c r="B26" s="2">
        <v>0.01177232339978218</v>
      </c>
      <c r="C26" s="1">
        <v>6</v>
      </c>
      <c r="D26" s="1">
        <v>5944</v>
      </c>
      <c r="E26" s="1">
        <v>5928</v>
      </c>
      <c r="F26" s="1">
        <v>10</v>
      </c>
      <c r="G26" s="1">
        <v>6</v>
      </c>
      <c r="H26" s="1">
        <v>0</v>
      </c>
    </row>
    <row r="27" spans="1:8">
      <c r="A27" s="1" t="s">
        <v>25</v>
      </c>
      <c r="B27" s="2">
        <v>0.007848215289413929</v>
      </c>
      <c r="C27" s="1">
        <v>4</v>
      </c>
      <c r="D27" s="1">
        <v>30</v>
      </c>
      <c r="E27" s="1">
        <v>2</v>
      </c>
      <c r="F27" s="1">
        <v>24</v>
      </c>
      <c r="G27" s="1">
        <v>4</v>
      </c>
      <c r="H27" s="1">
        <v>0</v>
      </c>
    </row>
    <row r="28" spans="1:8">
      <c r="A28" s="1" t="s">
        <v>26</v>
      </c>
      <c r="B28" s="2">
        <v>0.007848215289413929</v>
      </c>
      <c r="C28" s="1">
        <v>4</v>
      </c>
      <c r="D28" s="1">
        <v>68</v>
      </c>
      <c r="E28" s="1">
        <v>64</v>
      </c>
      <c r="F28" s="1">
        <v>0</v>
      </c>
      <c r="G28" s="1">
        <v>4</v>
      </c>
      <c r="H28" s="1">
        <v>0</v>
      </c>
    </row>
    <row r="29" spans="1:8">
      <c r="A29" s="1" t="s">
        <v>27</v>
      </c>
      <c r="B29" s="2">
        <v>0.003924107644706965</v>
      </c>
      <c r="C29" s="1">
        <v>2</v>
      </c>
      <c r="D29" s="1">
        <v>198</v>
      </c>
      <c r="E29" s="1">
        <v>196</v>
      </c>
      <c r="F29" s="1">
        <v>0</v>
      </c>
      <c r="G29" s="1">
        <v>2</v>
      </c>
      <c r="H29" s="1">
        <v>0</v>
      </c>
    </row>
    <row r="30" spans="1:8">
      <c r="A30" s="1" t="s">
        <v>28</v>
      </c>
      <c r="B30" s="2">
        <v>0.001962053822353482</v>
      </c>
      <c r="C30" s="1">
        <v>1</v>
      </c>
      <c r="D30" s="1">
        <v>139</v>
      </c>
      <c r="E30" s="1">
        <v>138</v>
      </c>
      <c r="F30" s="1">
        <v>0</v>
      </c>
      <c r="G30" s="1">
        <v>1</v>
      </c>
      <c r="H30" s="1">
        <v>0</v>
      </c>
    </row>
    <row r="31" spans="1:8">
      <c r="A31" s="1" t="s">
        <v>29</v>
      </c>
      <c r="B31" s="2">
        <v>0.001962053822353482</v>
      </c>
      <c r="C31" s="1">
        <v>1</v>
      </c>
      <c r="D31" s="1">
        <v>149</v>
      </c>
      <c r="E31" s="1">
        <v>148</v>
      </c>
      <c r="F31" s="1">
        <v>0</v>
      </c>
      <c r="G31" s="1">
        <v>1</v>
      </c>
      <c r="H31" s="1">
        <v>0</v>
      </c>
    </row>
    <row r="32" spans="1:8">
      <c r="A32" s="1" t="s">
        <v>30</v>
      </c>
      <c r="B32" s="2">
        <v>0.001962053822353482</v>
      </c>
      <c r="C32" s="1">
        <v>1</v>
      </c>
      <c r="D32" s="1">
        <v>37</v>
      </c>
      <c r="E32" s="1">
        <v>36</v>
      </c>
      <c r="F32" s="1">
        <v>0</v>
      </c>
      <c r="G32" s="1">
        <v>1</v>
      </c>
      <c r="H32" s="1">
        <v>0</v>
      </c>
    </row>
    <row r="33" spans="1:8">
      <c r="A33" s="1" t="s">
        <v>31</v>
      </c>
      <c r="B33" s="2">
        <v>0.001962053822353482</v>
      </c>
      <c r="C33" s="1">
        <v>1</v>
      </c>
      <c r="D33" s="1">
        <v>345</v>
      </c>
      <c r="E33" s="1">
        <v>344</v>
      </c>
      <c r="F33" s="1">
        <v>0</v>
      </c>
      <c r="G33" s="1">
        <v>1</v>
      </c>
      <c r="H33" s="1">
        <v>0</v>
      </c>
    </row>
    <row r="182" spans="1:8">
      <c r="A182" t="s">
        <v>181</v>
      </c>
      <c r="B182">
        <f>SUBTOTAL(109,[ram_percent])</f>
        <v>0</v>
      </c>
      <c r="C182">
        <f>SUBTOTAL(109,[ram])</f>
        <v>0</v>
      </c>
      <c r="D182">
        <f>SUBTOTAL(109,[flash])</f>
        <v>0</v>
      </c>
      <c r="E182">
        <f>SUBTOTAL(109,[Code])</f>
        <v>0</v>
      </c>
      <c r="F182">
        <f>SUBTOTAL(109,[RO_data])</f>
        <v>0</v>
      </c>
      <c r="G182">
        <f>SUBTOTAL(109,[RW_data])</f>
        <v>0</v>
      </c>
      <c r="H18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180</v>
      </c>
      <c r="B2" t="s">
        <v>189</v>
      </c>
      <c r="C2" t="s">
        <v>184</v>
      </c>
      <c r="D2" t="s">
        <v>183</v>
      </c>
      <c r="E2" t="s">
        <v>185</v>
      </c>
      <c r="F2" t="s">
        <v>186</v>
      </c>
      <c r="G2" t="s">
        <v>187</v>
      </c>
      <c r="H2" t="s">
        <v>188</v>
      </c>
    </row>
    <row r="3" spans="1:8">
      <c r="A3" s="1" t="s">
        <v>10</v>
      </c>
      <c r="B3" s="2">
        <v>16.0595645904541</v>
      </c>
      <c r="C3" s="1">
        <v>13826</v>
      </c>
      <c r="D3" s="1">
        <v>94</v>
      </c>
      <c r="E3" s="1">
        <v>7738</v>
      </c>
      <c r="F3" s="1">
        <v>6080</v>
      </c>
      <c r="G3" s="1">
        <v>8</v>
      </c>
      <c r="H3" s="1">
        <v>86</v>
      </c>
    </row>
    <row r="4" spans="1:8">
      <c r="A4" s="1" t="s">
        <v>8</v>
      </c>
      <c r="B4" s="2">
        <v>9.62342643737793</v>
      </c>
      <c r="C4" s="1">
        <v>8285</v>
      </c>
      <c r="D4" s="1">
        <v>96</v>
      </c>
      <c r="E4" s="1">
        <v>7734</v>
      </c>
      <c r="F4" s="1">
        <v>551</v>
      </c>
      <c r="G4" s="1">
        <v>0</v>
      </c>
      <c r="H4" s="1">
        <v>96</v>
      </c>
    </row>
    <row r="5" spans="1:8">
      <c r="A5" s="1" t="s">
        <v>24</v>
      </c>
      <c r="B5" s="2">
        <v>6.904242038726807</v>
      </c>
      <c r="C5" s="1">
        <v>5944</v>
      </c>
      <c r="D5" s="1">
        <v>6</v>
      </c>
      <c r="E5" s="1">
        <v>5928</v>
      </c>
      <c r="F5" s="1">
        <v>10</v>
      </c>
      <c r="G5" s="1">
        <v>6</v>
      </c>
      <c r="H5" s="1">
        <v>0</v>
      </c>
    </row>
    <row r="6" spans="1:8">
      <c r="A6" s="1" t="s">
        <v>32</v>
      </c>
      <c r="B6" s="2">
        <v>5.531291961669922</v>
      </c>
      <c r="C6" s="1">
        <v>4762</v>
      </c>
      <c r="D6" s="1">
        <v>0</v>
      </c>
      <c r="E6" s="1">
        <v>4762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4.639223098754883</v>
      </c>
      <c r="C7" s="1">
        <v>3994</v>
      </c>
      <c r="D7" s="1">
        <v>484</v>
      </c>
      <c r="E7" s="1">
        <v>3930</v>
      </c>
      <c r="F7" s="1">
        <v>0</v>
      </c>
      <c r="G7" s="1">
        <v>64</v>
      </c>
      <c r="H7" s="1">
        <v>420</v>
      </c>
    </row>
    <row r="8" spans="1:8">
      <c r="A8" s="1" t="s">
        <v>33</v>
      </c>
      <c r="B8" s="2">
        <v>3.49858283996582</v>
      </c>
      <c r="C8" s="1">
        <v>3012</v>
      </c>
      <c r="D8" s="1">
        <v>0</v>
      </c>
      <c r="E8" s="1">
        <v>2868</v>
      </c>
      <c r="F8" s="1">
        <v>144</v>
      </c>
      <c r="G8" s="1">
        <v>0</v>
      </c>
      <c r="H8" s="1">
        <v>0</v>
      </c>
    </row>
    <row r="9" spans="1:8">
      <c r="A9" s="1" t="s">
        <v>34</v>
      </c>
      <c r="B9" s="2">
        <v>3.085071802139282</v>
      </c>
      <c r="C9" s="1">
        <v>2656</v>
      </c>
      <c r="D9" s="1">
        <v>0</v>
      </c>
      <c r="E9" s="1">
        <v>2520</v>
      </c>
      <c r="F9" s="1">
        <v>136</v>
      </c>
      <c r="G9" s="1">
        <v>0</v>
      </c>
      <c r="H9" s="1">
        <v>0</v>
      </c>
    </row>
    <row r="10" spans="1:8">
      <c r="A10" s="1" t="s">
        <v>12</v>
      </c>
      <c r="B10" s="2">
        <v>2.90851640701294</v>
      </c>
      <c r="C10" s="1">
        <v>2504</v>
      </c>
      <c r="D10" s="1">
        <v>64</v>
      </c>
      <c r="E10" s="1">
        <v>2504</v>
      </c>
      <c r="F10" s="1">
        <v>0</v>
      </c>
      <c r="G10" s="1">
        <v>0</v>
      </c>
      <c r="H10" s="1">
        <v>64</v>
      </c>
    </row>
    <row r="11" spans="1:8">
      <c r="A11" s="1" t="s">
        <v>35</v>
      </c>
      <c r="B11" s="2">
        <v>2.89690089225769</v>
      </c>
      <c r="C11" s="1">
        <v>2494</v>
      </c>
      <c r="D11" s="1">
        <v>0</v>
      </c>
      <c r="E11" s="1">
        <v>2494</v>
      </c>
      <c r="F11" s="1">
        <v>0</v>
      </c>
      <c r="G11" s="1">
        <v>0</v>
      </c>
      <c r="H11" s="1">
        <v>0</v>
      </c>
    </row>
    <row r="12" spans="1:8">
      <c r="A12" s="1" t="s">
        <v>36</v>
      </c>
      <c r="B12" s="2">
        <v>2.320773124694824</v>
      </c>
      <c r="C12" s="1">
        <v>1998</v>
      </c>
      <c r="D12" s="1">
        <v>0</v>
      </c>
      <c r="E12" s="1">
        <v>1998</v>
      </c>
      <c r="F12" s="1">
        <v>0</v>
      </c>
      <c r="G12" s="1">
        <v>0</v>
      </c>
      <c r="H12" s="1">
        <v>0</v>
      </c>
    </row>
    <row r="13" spans="1:8">
      <c r="A13" s="1" t="s">
        <v>37</v>
      </c>
      <c r="B13" s="2">
        <v>2.248757123947144</v>
      </c>
      <c r="C13" s="1">
        <v>1936</v>
      </c>
      <c r="D13" s="1">
        <v>0</v>
      </c>
      <c r="E13" s="1">
        <v>1936</v>
      </c>
      <c r="F13" s="1">
        <v>0</v>
      </c>
      <c r="G13" s="1">
        <v>0</v>
      </c>
      <c r="H13" s="1">
        <v>0</v>
      </c>
    </row>
    <row r="14" spans="1:8">
      <c r="A14" s="1" t="s">
        <v>38</v>
      </c>
      <c r="B14" s="2">
        <v>2.072201728820801</v>
      </c>
      <c r="C14" s="1">
        <v>1784</v>
      </c>
      <c r="D14" s="1">
        <v>0</v>
      </c>
      <c r="E14" s="1">
        <v>1784</v>
      </c>
      <c r="F14" s="1">
        <v>0</v>
      </c>
      <c r="G14" s="1">
        <v>0</v>
      </c>
      <c r="H14" s="1">
        <v>0</v>
      </c>
    </row>
    <row r="15" spans="1:8">
      <c r="A15" s="1" t="s">
        <v>39</v>
      </c>
      <c r="B15" s="2">
        <v>1.956047058105469</v>
      </c>
      <c r="C15" s="1">
        <v>1684</v>
      </c>
      <c r="D15" s="1">
        <v>0</v>
      </c>
      <c r="E15" s="1">
        <v>1684</v>
      </c>
      <c r="F15" s="1">
        <v>0</v>
      </c>
      <c r="G15" s="1">
        <v>0</v>
      </c>
      <c r="H15" s="1">
        <v>0</v>
      </c>
    </row>
    <row r="16" spans="1:8">
      <c r="A16" s="1" t="s">
        <v>40</v>
      </c>
      <c r="B16" s="2">
        <v>1.932816028594971</v>
      </c>
      <c r="C16" s="1">
        <v>1664</v>
      </c>
      <c r="D16" s="1">
        <v>0</v>
      </c>
      <c r="E16" s="1">
        <v>1664</v>
      </c>
      <c r="F16" s="1">
        <v>0</v>
      </c>
      <c r="G16" s="1">
        <v>0</v>
      </c>
      <c r="H16" s="1">
        <v>0</v>
      </c>
    </row>
    <row r="17" spans="1:8">
      <c r="A17" s="1" t="s">
        <v>41</v>
      </c>
      <c r="B17" s="2">
        <v>1.726060509681702</v>
      </c>
      <c r="C17" s="1">
        <v>1486</v>
      </c>
      <c r="D17" s="1">
        <v>0</v>
      </c>
      <c r="E17" s="1">
        <v>1486</v>
      </c>
      <c r="F17" s="1">
        <v>0</v>
      </c>
      <c r="G17" s="1">
        <v>0</v>
      </c>
      <c r="H17" s="1">
        <v>0</v>
      </c>
    </row>
    <row r="18" spans="1:8">
      <c r="A18" s="1" t="s">
        <v>13</v>
      </c>
      <c r="B18" s="2">
        <v>1.700506448745728</v>
      </c>
      <c r="C18" s="1">
        <v>1464</v>
      </c>
      <c r="D18" s="1">
        <v>60</v>
      </c>
      <c r="E18" s="1">
        <v>1444</v>
      </c>
      <c r="F18" s="1">
        <v>0</v>
      </c>
      <c r="G18" s="1">
        <v>20</v>
      </c>
      <c r="H18" s="1">
        <v>40</v>
      </c>
    </row>
    <row r="19" spans="1:8">
      <c r="A19" s="1" t="s">
        <v>16</v>
      </c>
      <c r="B19" s="2">
        <v>1.519304871559143</v>
      </c>
      <c r="C19" s="1">
        <v>1308</v>
      </c>
      <c r="D19" s="1">
        <v>32</v>
      </c>
      <c r="E19" s="1">
        <v>1306</v>
      </c>
      <c r="F19" s="1">
        <v>0</v>
      </c>
      <c r="G19" s="1">
        <v>2</v>
      </c>
      <c r="H19" s="1">
        <v>30</v>
      </c>
    </row>
    <row r="20" spans="1:8">
      <c r="A20" s="1" t="s">
        <v>18</v>
      </c>
      <c r="B20" s="2">
        <v>1.38688850402832</v>
      </c>
      <c r="C20" s="1">
        <v>1194</v>
      </c>
      <c r="D20" s="1">
        <v>12</v>
      </c>
      <c r="E20" s="1">
        <v>1182</v>
      </c>
      <c r="F20" s="1">
        <v>0</v>
      </c>
      <c r="G20" s="1">
        <v>12</v>
      </c>
      <c r="H20" s="1">
        <v>0</v>
      </c>
    </row>
    <row r="21" spans="1:8">
      <c r="A21" s="1" t="s">
        <v>42</v>
      </c>
      <c r="B21" s="2">
        <v>1.224271655082703</v>
      </c>
      <c r="C21" s="1">
        <v>1054</v>
      </c>
      <c r="D21" s="1">
        <v>0</v>
      </c>
      <c r="E21" s="1">
        <v>1054</v>
      </c>
      <c r="F21" s="1">
        <v>0</v>
      </c>
      <c r="G21" s="1">
        <v>0</v>
      </c>
      <c r="H21" s="1">
        <v>0</v>
      </c>
    </row>
    <row r="22" spans="1:8">
      <c r="A22" s="1" t="s">
        <v>43</v>
      </c>
      <c r="B22" s="2">
        <v>1.022162318229675</v>
      </c>
      <c r="C22" s="1">
        <v>880</v>
      </c>
      <c r="D22" s="1">
        <v>0</v>
      </c>
      <c r="E22" s="1">
        <v>880</v>
      </c>
      <c r="F22" s="1">
        <v>0</v>
      </c>
      <c r="G22" s="1">
        <v>0</v>
      </c>
      <c r="H22" s="1">
        <v>0</v>
      </c>
    </row>
    <row r="23" spans="1:8">
      <c r="A23" s="1" t="s">
        <v>2</v>
      </c>
      <c r="B23" s="2">
        <v>1.022162318229675</v>
      </c>
      <c r="C23" s="1">
        <v>880</v>
      </c>
      <c r="D23" s="1">
        <v>20512</v>
      </c>
      <c r="E23" s="1">
        <v>848</v>
      </c>
      <c r="F23" s="1">
        <v>0</v>
      </c>
      <c r="G23" s="1">
        <v>32</v>
      </c>
      <c r="H23" s="1">
        <v>20480</v>
      </c>
    </row>
    <row r="24" spans="1:8">
      <c r="A24" s="1" t="s">
        <v>44</v>
      </c>
      <c r="B24" s="2">
        <v>0.9594387412071228</v>
      </c>
      <c r="C24" s="1">
        <v>826</v>
      </c>
      <c r="D24" s="1">
        <v>0</v>
      </c>
      <c r="E24" s="1">
        <v>826</v>
      </c>
      <c r="F24" s="1">
        <v>0</v>
      </c>
      <c r="G24" s="1">
        <v>0</v>
      </c>
      <c r="H24" s="1">
        <v>0</v>
      </c>
    </row>
    <row r="25" spans="1:8">
      <c r="A25" s="1" t="s">
        <v>45</v>
      </c>
      <c r="B25" s="2">
        <v>0.9501463770866394</v>
      </c>
      <c r="C25" s="1">
        <v>818</v>
      </c>
      <c r="D25" s="1">
        <v>0</v>
      </c>
      <c r="E25" s="1">
        <v>818</v>
      </c>
      <c r="F25" s="1">
        <v>0</v>
      </c>
      <c r="G25" s="1">
        <v>0</v>
      </c>
      <c r="H25" s="1">
        <v>0</v>
      </c>
    </row>
    <row r="26" spans="1:8">
      <c r="A26" s="1" t="s">
        <v>46</v>
      </c>
      <c r="B26" s="2">
        <v>0.9315615892410278</v>
      </c>
      <c r="C26" s="1">
        <v>802</v>
      </c>
      <c r="D26" s="1">
        <v>0</v>
      </c>
      <c r="E26" s="1">
        <v>764</v>
      </c>
      <c r="F26" s="1">
        <v>38</v>
      </c>
      <c r="G26" s="1">
        <v>0</v>
      </c>
      <c r="H26" s="1">
        <v>0</v>
      </c>
    </row>
    <row r="27" spans="1:8">
      <c r="A27" s="1" t="s">
        <v>15</v>
      </c>
      <c r="B27" s="2">
        <v>0.9222692251205444</v>
      </c>
      <c r="C27" s="1">
        <v>794</v>
      </c>
      <c r="D27" s="1">
        <v>48</v>
      </c>
      <c r="E27" s="1">
        <v>746</v>
      </c>
      <c r="F27" s="1">
        <v>0</v>
      </c>
      <c r="G27" s="1">
        <v>48</v>
      </c>
      <c r="H27" s="1">
        <v>0</v>
      </c>
    </row>
    <row r="28" spans="1:8">
      <c r="A28" s="1" t="s">
        <v>6</v>
      </c>
      <c r="B28" s="2">
        <v>0.9211076498031616</v>
      </c>
      <c r="C28" s="1">
        <v>793</v>
      </c>
      <c r="D28" s="1">
        <v>164</v>
      </c>
      <c r="E28" s="1">
        <v>632</v>
      </c>
      <c r="F28" s="1">
        <v>161</v>
      </c>
      <c r="G28" s="1">
        <v>0</v>
      </c>
      <c r="H28" s="1">
        <v>164</v>
      </c>
    </row>
    <row r="29" spans="1:8">
      <c r="A29" s="1" t="s">
        <v>47</v>
      </c>
      <c r="B29" s="2">
        <v>0.7991451025009155</v>
      </c>
      <c r="C29" s="1">
        <v>688</v>
      </c>
      <c r="D29" s="1">
        <v>0</v>
      </c>
      <c r="E29" s="1">
        <v>688</v>
      </c>
      <c r="F29" s="1">
        <v>0</v>
      </c>
      <c r="G29" s="1">
        <v>0</v>
      </c>
      <c r="H29" s="1">
        <v>0</v>
      </c>
    </row>
    <row r="30" spans="1:8">
      <c r="A30" s="1" t="s">
        <v>23</v>
      </c>
      <c r="B30" s="2">
        <v>0.7712679505348206</v>
      </c>
      <c r="C30" s="1">
        <v>664</v>
      </c>
      <c r="D30" s="1">
        <v>8</v>
      </c>
      <c r="E30" s="1">
        <v>656</v>
      </c>
      <c r="F30" s="1">
        <v>0</v>
      </c>
      <c r="G30" s="1">
        <v>8</v>
      </c>
      <c r="H30" s="1">
        <v>0</v>
      </c>
    </row>
    <row r="31" spans="1:8">
      <c r="A31" s="1" t="s">
        <v>4</v>
      </c>
      <c r="B31" s="2">
        <v>0.7294521927833557</v>
      </c>
      <c r="C31" s="1">
        <v>628</v>
      </c>
      <c r="D31" s="1">
        <v>1294</v>
      </c>
      <c r="E31" s="1">
        <v>620</v>
      </c>
      <c r="F31" s="1">
        <v>0</v>
      </c>
      <c r="G31" s="1">
        <v>8</v>
      </c>
      <c r="H31" s="1">
        <v>1286</v>
      </c>
    </row>
    <row r="32" spans="1:8">
      <c r="A32" s="1" t="s">
        <v>48</v>
      </c>
      <c r="B32" s="2">
        <v>0.7108674645423889</v>
      </c>
      <c r="C32" s="1">
        <v>612</v>
      </c>
      <c r="D32" s="1">
        <v>0</v>
      </c>
      <c r="E32" s="1">
        <v>612</v>
      </c>
      <c r="F32" s="1">
        <v>0</v>
      </c>
      <c r="G32" s="1">
        <v>0</v>
      </c>
      <c r="H32" s="1">
        <v>0</v>
      </c>
    </row>
    <row r="33" spans="1:8">
      <c r="A33" s="1" t="s">
        <v>49</v>
      </c>
      <c r="B33" s="2">
        <v>0.5343121290206909</v>
      </c>
      <c r="C33" s="1">
        <v>460</v>
      </c>
      <c r="D33" s="1">
        <v>0</v>
      </c>
      <c r="E33" s="1">
        <v>460</v>
      </c>
      <c r="F33" s="1">
        <v>0</v>
      </c>
      <c r="G33" s="1">
        <v>0</v>
      </c>
      <c r="H33" s="1">
        <v>0</v>
      </c>
    </row>
    <row r="34" spans="1:8">
      <c r="A34" s="1" t="s">
        <v>14</v>
      </c>
      <c r="B34" s="2">
        <v>0.506434977054596</v>
      </c>
      <c r="C34" s="1">
        <v>436</v>
      </c>
      <c r="D34" s="1">
        <v>48</v>
      </c>
      <c r="E34" s="1">
        <v>436</v>
      </c>
      <c r="F34" s="1">
        <v>0</v>
      </c>
      <c r="G34" s="1">
        <v>0</v>
      </c>
      <c r="H34" s="1">
        <v>48</v>
      </c>
    </row>
    <row r="35" spans="1:8">
      <c r="A35" s="1" t="s">
        <v>50</v>
      </c>
      <c r="B35" s="2">
        <v>0.499465674161911</v>
      </c>
      <c r="C35" s="1">
        <v>430</v>
      </c>
      <c r="D35" s="1">
        <v>0</v>
      </c>
      <c r="E35" s="1">
        <v>430</v>
      </c>
      <c r="F35" s="1">
        <v>0</v>
      </c>
      <c r="G35" s="1">
        <v>0</v>
      </c>
      <c r="H35" s="1">
        <v>0</v>
      </c>
    </row>
    <row r="36" spans="1:8">
      <c r="A36" s="1" t="s">
        <v>51</v>
      </c>
      <c r="B36" s="2">
        <v>0.4855270981788635</v>
      </c>
      <c r="C36" s="1">
        <v>418</v>
      </c>
      <c r="D36" s="1">
        <v>0</v>
      </c>
      <c r="E36" s="1">
        <v>418</v>
      </c>
      <c r="F36" s="1">
        <v>0</v>
      </c>
      <c r="G36" s="1">
        <v>0</v>
      </c>
      <c r="H36" s="1">
        <v>0</v>
      </c>
    </row>
    <row r="37" spans="1:8">
      <c r="A37" s="1" t="s">
        <v>52</v>
      </c>
      <c r="B37" s="2">
        <v>0.4750731885433197</v>
      </c>
      <c r="C37" s="1">
        <v>409</v>
      </c>
      <c r="D37" s="1">
        <v>0</v>
      </c>
      <c r="E37" s="1">
        <v>392</v>
      </c>
      <c r="F37" s="1">
        <v>17</v>
      </c>
      <c r="G37" s="1">
        <v>0</v>
      </c>
      <c r="H37" s="1">
        <v>0</v>
      </c>
    </row>
    <row r="38" spans="1:8">
      <c r="A38" s="1" t="s">
        <v>53</v>
      </c>
      <c r="B38" s="2">
        <v>0.450680673122406</v>
      </c>
      <c r="C38" s="1">
        <v>388</v>
      </c>
      <c r="D38" s="1">
        <v>0</v>
      </c>
      <c r="E38" s="1">
        <v>388</v>
      </c>
      <c r="F38" s="1">
        <v>0</v>
      </c>
      <c r="G38" s="1">
        <v>0</v>
      </c>
      <c r="H38" s="1">
        <v>0</v>
      </c>
    </row>
    <row r="39" spans="1:8">
      <c r="A39" s="1" t="s">
        <v>54</v>
      </c>
      <c r="B39" s="2">
        <v>0.450680673122406</v>
      </c>
      <c r="C39" s="1">
        <v>388</v>
      </c>
      <c r="D39" s="1">
        <v>0</v>
      </c>
      <c r="E39" s="1">
        <v>388</v>
      </c>
      <c r="F39" s="1">
        <v>0</v>
      </c>
      <c r="G39" s="1">
        <v>0</v>
      </c>
      <c r="H39" s="1">
        <v>0</v>
      </c>
    </row>
    <row r="40" spans="1:8">
      <c r="A40" s="1" t="s">
        <v>55</v>
      </c>
      <c r="B40" s="2">
        <v>0.4367420971393585</v>
      </c>
      <c r="C40" s="1">
        <v>376</v>
      </c>
      <c r="D40" s="1">
        <v>0</v>
      </c>
      <c r="E40" s="1">
        <v>228</v>
      </c>
      <c r="F40" s="1">
        <v>148</v>
      </c>
      <c r="G40" s="1">
        <v>0</v>
      </c>
      <c r="H40" s="1">
        <v>0</v>
      </c>
    </row>
    <row r="41" spans="1:8">
      <c r="A41" s="1" t="s">
        <v>1</v>
      </c>
      <c r="B41" s="2">
        <v>0.4320958852767944</v>
      </c>
      <c r="C41" s="1">
        <v>372</v>
      </c>
      <c r="D41" s="1">
        <v>26132</v>
      </c>
      <c r="E41" s="1">
        <v>340</v>
      </c>
      <c r="F41" s="1">
        <v>12</v>
      </c>
      <c r="G41" s="1">
        <v>20</v>
      </c>
      <c r="H41" s="1">
        <v>26112</v>
      </c>
    </row>
    <row r="42" spans="1:8">
      <c r="A42" s="1" t="s">
        <v>3</v>
      </c>
      <c r="B42" s="2">
        <v>0.4274497032165527</v>
      </c>
      <c r="C42" s="1">
        <v>368</v>
      </c>
      <c r="D42" s="1">
        <v>1536</v>
      </c>
      <c r="E42" s="1">
        <v>64</v>
      </c>
      <c r="F42" s="1">
        <v>304</v>
      </c>
      <c r="G42" s="1">
        <v>0</v>
      </c>
      <c r="H42" s="1">
        <v>1536</v>
      </c>
    </row>
    <row r="43" spans="1:8">
      <c r="A43" s="1" t="s">
        <v>56</v>
      </c>
      <c r="B43" s="2">
        <v>0.4088649451732636</v>
      </c>
      <c r="C43" s="1">
        <v>352</v>
      </c>
      <c r="D43" s="1">
        <v>0</v>
      </c>
      <c r="E43" s="1">
        <v>352</v>
      </c>
      <c r="F43" s="1">
        <v>0</v>
      </c>
      <c r="G43" s="1">
        <v>0</v>
      </c>
      <c r="H43" s="1">
        <v>0</v>
      </c>
    </row>
    <row r="44" spans="1:8">
      <c r="A44" s="1" t="s">
        <v>31</v>
      </c>
      <c r="B44" s="2">
        <v>0.4007340967655182</v>
      </c>
      <c r="C44" s="1">
        <v>345</v>
      </c>
      <c r="D44" s="1">
        <v>1</v>
      </c>
      <c r="E44" s="1">
        <v>344</v>
      </c>
      <c r="F44" s="1">
        <v>0</v>
      </c>
      <c r="G44" s="1">
        <v>1</v>
      </c>
      <c r="H44" s="1">
        <v>0</v>
      </c>
    </row>
    <row r="45" spans="1:8">
      <c r="A45" s="1" t="s">
        <v>57</v>
      </c>
      <c r="B45" s="2">
        <v>0.3995725512504578</v>
      </c>
      <c r="C45" s="1">
        <v>344</v>
      </c>
      <c r="D45" s="1">
        <v>0</v>
      </c>
      <c r="E45" s="1">
        <v>344</v>
      </c>
      <c r="F45" s="1">
        <v>0</v>
      </c>
      <c r="G45" s="1">
        <v>0</v>
      </c>
      <c r="H45" s="1">
        <v>0</v>
      </c>
    </row>
    <row r="46" spans="1:8">
      <c r="A46" s="1" t="s">
        <v>58</v>
      </c>
      <c r="B46" s="2">
        <v>0.3949263691902161</v>
      </c>
      <c r="C46" s="1">
        <v>340</v>
      </c>
      <c r="D46" s="1">
        <v>0</v>
      </c>
      <c r="E46" s="1">
        <v>340</v>
      </c>
      <c r="F46" s="1">
        <v>0</v>
      </c>
      <c r="G46" s="1">
        <v>0</v>
      </c>
      <c r="H46" s="1">
        <v>0</v>
      </c>
    </row>
    <row r="47" spans="1:8">
      <c r="A47" s="1" t="s">
        <v>59</v>
      </c>
      <c r="B47" s="2">
        <v>0.3670492172241211</v>
      </c>
      <c r="C47" s="1">
        <v>316</v>
      </c>
      <c r="D47" s="1">
        <v>0</v>
      </c>
      <c r="E47" s="1">
        <v>44</v>
      </c>
      <c r="F47" s="1">
        <v>272</v>
      </c>
      <c r="G47" s="1">
        <v>0</v>
      </c>
      <c r="H47" s="1">
        <v>0</v>
      </c>
    </row>
    <row r="48" spans="1:8">
      <c r="A48" s="1" t="s">
        <v>21</v>
      </c>
      <c r="B48" s="2">
        <v>0.3461413383483887</v>
      </c>
      <c r="C48" s="1">
        <v>298</v>
      </c>
      <c r="D48" s="1">
        <v>10</v>
      </c>
      <c r="E48" s="1">
        <v>288</v>
      </c>
      <c r="F48" s="1">
        <v>0</v>
      </c>
      <c r="G48" s="1">
        <v>10</v>
      </c>
      <c r="H48" s="1">
        <v>0</v>
      </c>
    </row>
    <row r="49" spans="1:8">
      <c r="A49" s="1" t="s">
        <v>60</v>
      </c>
      <c r="B49" s="2">
        <v>0.3020025193691254</v>
      </c>
      <c r="C49" s="1">
        <v>260</v>
      </c>
      <c r="D49" s="1">
        <v>0</v>
      </c>
      <c r="E49" s="1">
        <v>260</v>
      </c>
      <c r="F49" s="1">
        <v>0</v>
      </c>
      <c r="G49" s="1">
        <v>0</v>
      </c>
      <c r="H49" s="1">
        <v>0</v>
      </c>
    </row>
    <row r="50" spans="1:8">
      <c r="A50" s="1" t="s">
        <v>61</v>
      </c>
      <c r="B50" s="2">
        <v>0.2996793985366821</v>
      </c>
      <c r="C50" s="1">
        <v>258</v>
      </c>
      <c r="D50" s="1">
        <v>0</v>
      </c>
      <c r="E50" s="1">
        <v>258</v>
      </c>
      <c r="F50" s="1">
        <v>0</v>
      </c>
      <c r="G50" s="1">
        <v>0</v>
      </c>
      <c r="H50" s="1">
        <v>0</v>
      </c>
    </row>
    <row r="51" spans="1:8">
      <c r="A51" s="1" t="s">
        <v>62</v>
      </c>
      <c r="B51" s="2">
        <v>0.2950332164764404</v>
      </c>
      <c r="C51" s="1">
        <v>254</v>
      </c>
      <c r="D51" s="1">
        <v>0</v>
      </c>
      <c r="E51" s="1">
        <v>254</v>
      </c>
      <c r="F51" s="1">
        <v>0</v>
      </c>
      <c r="G51" s="1">
        <v>0</v>
      </c>
      <c r="H51" s="1">
        <v>0</v>
      </c>
    </row>
    <row r="52" spans="1:8">
      <c r="A52" s="1" t="s">
        <v>63</v>
      </c>
      <c r="B52" s="2">
        <v>0.2787715494632721</v>
      </c>
      <c r="C52" s="1">
        <v>240</v>
      </c>
      <c r="D52" s="1">
        <v>0</v>
      </c>
      <c r="E52" s="1">
        <v>240</v>
      </c>
      <c r="F52" s="1">
        <v>0</v>
      </c>
      <c r="G52" s="1">
        <v>0</v>
      </c>
      <c r="H52" s="1">
        <v>0</v>
      </c>
    </row>
    <row r="53" spans="1:8">
      <c r="A53" s="1" t="s">
        <v>64</v>
      </c>
      <c r="B53" s="2">
        <v>0.2764484584331513</v>
      </c>
      <c r="C53" s="1">
        <v>238</v>
      </c>
      <c r="D53" s="1">
        <v>0</v>
      </c>
      <c r="E53" s="1">
        <v>238</v>
      </c>
      <c r="F53" s="1">
        <v>0</v>
      </c>
      <c r="G53" s="1">
        <v>0</v>
      </c>
      <c r="H53" s="1">
        <v>0</v>
      </c>
    </row>
    <row r="54" spans="1:8">
      <c r="A54" s="1" t="s">
        <v>11</v>
      </c>
      <c r="B54" s="2">
        <v>0.2613483369350433</v>
      </c>
      <c r="C54" s="1">
        <v>225</v>
      </c>
      <c r="D54" s="1">
        <v>73</v>
      </c>
      <c r="E54" s="1">
        <v>224</v>
      </c>
      <c r="F54" s="1">
        <v>0</v>
      </c>
      <c r="G54" s="1">
        <v>1</v>
      </c>
      <c r="H54" s="1">
        <v>72</v>
      </c>
    </row>
    <row r="55" spans="1:8">
      <c r="A55" s="1" t="s">
        <v>22</v>
      </c>
      <c r="B55" s="2">
        <v>0.235794261097908</v>
      </c>
      <c r="C55" s="1">
        <v>203</v>
      </c>
      <c r="D55" s="1">
        <v>9</v>
      </c>
      <c r="E55" s="1">
        <v>194</v>
      </c>
      <c r="F55" s="1">
        <v>0</v>
      </c>
      <c r="G55" s="1">
        <v>9</v>
      </c>
      <c r="H55" s="1">
        <v>0</v>
      </c>
    </row>
    <row r="56" spans="1:8">
      <c r="A56" s="1" t="s">
        <v>27</v>
      </c>
      <c r="B56" s="2">
        <v>0.2299865186214447</v>
      </c>
      <c r="C56" s="1">
        <v>198</v>
      </c>
      <c r="D56" s="1">
        <v>2</v>
      </c>
      <c r="E56" s="1">
        <v>196</v>
      </c>
      <c r="F56" s="1">
        <v>0</v>
      </c>
      <c r="G56" s="1">
        <v>2</v>
      </c>
      <c r="H56" s="1">
        <v>0</v>
      </c>
    </row>
    <row r="57" spans="1:8">
      <c r="A57" s="1" t="s">
        <v>65</v>
      </c>
      <c r="B57" s="2">
        <v>0.2276634275913239</v>
      </c>
      <c r="C57" s="1">
        <v>196</v>
      </c>
      <c r="D57" s="1">
        <v>0</v>
      </c>
      <c r="E57" s="1">
        <v>188</v>
      </c>
      <c r="F57" s="1">
        <v>8</v>
      </c>
      <c r="G57" s="1">
        <v>0</v>
      </c>
      <c r="H57" s="1">
        <v>0</v>
      </c>
    </row>
    <row r="58" spans="1:8">
      <c r="A58" s="1" t="s">
        <v>66</v>
      </c>
      <c r="B58" s="2">
        <v>0.2183710485696793</v>
      </c>
      <c r="C58" s="1">
        <v>188</v>
      </c>
      <c r="D58" s="1">
        <v>0</v>
      </c>
      <c r="E58" s="1">
        <v>148</v>
      </c>
      <c r="F58" s="1">
        <v>40</v>
      </c>
      <c r="G58" s="1">
        <v>0</v>
      </c>
      <c r="H58" s="1">
        <v>0</v>
      </c>
    </row>
    <row r="59" spans="1:8">
      <c r="A59" s="1" t="s">
        <v>7</v>
      </c>
      <c r="B59" s="2">
        <v>0.2183710485696793</v>
      </c>
      <c r="C59" s="1">
        <v>188</v>
      </c>
      <c r="D59" s="1">
        <v>136</v>
      </c>
      <c r="E59" s="1">
        <v>188</v>
      </c>
      <c r="F59" s="1">
        <v>0</v>
      </c>
      <c r="G59" s="1">
        <v>0</v>
      </c>
      <c r="H59" s="1">
        <v>136</v>
      </c>
    </row>
    <row r="60" spans="1:8">
      <c r="A60" s="1" t="s">
        <v>17</v>
      </c>
      <c r="B60" s="2">
        <v>0.2090786546468735</v>
      </c>
      <c r="C60" s="1">
        <v>180</v>
      </c>
      <c r="D60" s="1">
        <v>16</v>
      </c>
      <c r="E60" s="1">
        <v>180</v>
      </c>
      <c r="F60" s="1">
        <v>0</v>
      </c>
      <c r="G60" s="1">
        <v>0</v>
      </c>
      <c r="H60" s="1">
        <v>16</v>
      </c>
    </row>
    <row r="61" spans="1:8">
      <c r="A61" s="1" t="s">
        <v>67</v>
      </c>
      <c r="B61" s="2">
        <v>0.2067555636167526</v>
      </c>
      <c r="C61" s="1">
        <v>178</v>
      </c>
      <c r="D61" s="1">
        <v>0</v>
      </c>
      <c r="E61" s="1">
        <v>178</v>
      </c>
      <c r="F61" s="1">
        <v>0</v>
      </c>
      <c r="G61" s="1">
        <v>0</v>
      </c>
      <c r="H61" s="1">
        <v>0</v>
      </c>
    </row>
    <row r="62" spans="1:8">
      <c r="A62" s="1" t="s">
        <v>68</v>
      </c>
      <c r="B62" s="2">
        <v>0.197463184595108</v>
      </c>
      <c r="C62" s="1">
        <v>170</v>
      </c>
      <c r="D62" s="1">
        <v>0</v>
      </c>
      <c r="E62" s="1">
        <v>170</v>
      </c>
      <c r="F62" s="1">
        <v>0</v>
      </c>
      <c r="G62" s="1">
        <v>0</v>
      </c>
      <c r="H62" s="1">
        <v>0</v>
      </c>
    </row>
    <row r="63" spans="1:8">
      <c r="A63" s="1" t="s">
        <v>69</v>
      </c>
      <c r="B63" s="2">
        <v>0.1904938966035843</v>
      </c>
      <c r="C63" s="1">
        <v>164</v>
      </c>
      <c r="D63" s="1">
        <v>0</v>
      </c>
      <c r="E63" s="1">
        <v>164</v>
      </c>
      <c r="F63" s="1">
        <v>0</v>
      </c>
      <c r="G63" s="1">
        <v>0</v>
      </c>
      <c r="H63" s="1">
        <v>0</v>
      </c>
    </row>
    <row r="64" spans="1:8">
      <c r="A64" s="1" t="s">
        <v>70</v>
      </c>
      <c r="B64" s="2">
        <v>0.1812015026807785</v>
      </c>
      <c r="C64" s="1">
        <v>156</v>
      </c>
      <c r="D64" s="1">
        <v>0</v>
      </c>
      <c r="E64" s="1">
        <v>156</v>
      </c>
      <c r="F64" s="1">
        <v>0</v>
      </c>
      <c r="G64" s="1">
        <v>0</v>
      </c>
      <c r="H64" s="1">
        <v>0</v>
      </c>
    </row>
    <row r="65" spans="1:8">
      <c r="A65" s="1" t="s">
        <v>29</v>
      </c>
      <c r="B65" s="2">
        <v>0.1730706691741943</v>
      </c>
      <c r="C65" s="1">
        <v>149</v>
      </c>
      <c r="D65" s="1">
        <v>1</v>
      </c>
      <c r="E65" s="1">
        <v>148</v>
      </c>
      <c r="F65" s="1">
        <v>0</v>
      </c>
      <c r="G65" s="1">
        <v>1</v>
      </c>
      <c r="H65" s="1">
        <v>0</v>
      </c>
    </row>
    <row r="66" spans="1:8">
      <c r="A66" s="1" t="s">
        <v>71</v>
      </c>
      <c r="B66" s="2">
        <v>0.1719091236591339</v>
      </c>
      <c r="C66" s="1">
        <v>148</v>
      </c>
      <c r="D66" s="1">
        <v>0</v>
      </c>
      <c r="E66" s="1">
        <v>148</v>
      </c>
      <c r="F66" s="1">
        <v>0</v>
      </c>
      <c r="G66" s="1">
        <v>0</v>
      </c>
      <c r="H66" s="1">
        <v>0</v>
      </c>
    </row>
    <row r="67" spans="1:8">
      <c r="A67" s="1" t="s">
        <v>72</v>
      </c>
      <c r="B67" s="2">
        <v>0.1626167297363281</v>
      </c>
      <c r="C67" s="1">
        <v>140</v>
      </c>
      <c r="D67" s="1">
        <v>0</v>
      </c>
      <c r="E67" s="1">
        <v>140</v>
      </c>
      <c r="F67" s="1">
        <v>0</v>
      </c>
      <c r="G67" s="1">
        <v>0</v>
      </c>
      <c r="H67" s="1">
        <v>0</v>
      </c>
    </row>
    <row r="68" spans="1:8">
      <c r="A68" s="1" t="s">
        <v>28</v>
      </c>
      <c r="B68" s="2">
        <v>0.1614551842212677</v>
      </c>
      <c r="C68" s="1">
        <v>139</v>
      </c>
      <c r="D68" s="1">
        <v>1</v>
      </c>
      <c r="E68" s="1">
        <v>138</v>
      </c>
      <c r="F68" s="1">
        <v>0</v>
      </c>
      <c r="G68" s="1">
        <v>1</v>
      </c>
      <c r="H68" s="1">
        <v>0</v>
      </c>
    </row>
    <row r="69" spans="1:8">
      <c r="A69" s="1" t="s">
        <v>73</v>
      </c>
      <c r="B69" s="2">
        <v>0.1602936387062073</v>
      </c>
      <c r="C69" s="1">
        <v>138</v>
      </c>
      <c r="D69" s="1">
        <v>0</v>
      </c>
      <c r="E69" s="1">
        <v>138</v>
      </c>
      <c r="F69" s="1">
        <v>0</v>
      </c>
      <c r="G69" s="1">
        <v>0</v>
      </c>
      <c r="H69" s="1">
        <v>0</v>
      </c>
    </row>
    <row r="70" spans="1:8">
      <c r="A70" s="1" t="s">
        <v>74</v>
      </c>
      <c r="B70" s="2">
        <v>0.1602936387062073</v>
      </c>
      <c r="C70" s="1">
        <v>138</v>
      </c>
      <c r="D70" s="1">
        <v>0</v>
      </c>
      <c r="E70" s="1">
        <v>138</v>
      </c>
      <c r="F70" s="1">
        <v>0</v>
      </c>
      <c r="G70" s="1">
        <v>0</v>
      </c>
      <c r="H70" s="1">
        <v>0</v>
      </c>
    </row>
    <row r="71" spans="1:8">
      <c r="A71" s="1" t="s">
        <v>75</v>
      </c>
      <c r="B71" s="2">
        <v>0.1486781537532806</v>
      </c>
      <c r="C71" s="1">
        <v>128</v>
      </c>
      <c r="D71" s="1">
        <v>0</v>
      </c>
      <c r="E71" s="1">
        <v>128</v>
      </c>
      <c r="F71" s="1">
        <v>0</v>
      </c>
      <c r="G71" s="1">
        <v>0</v>
      </c>
      <c r="H71" s="1">
        <v>0</v>
      </c>
    </row>
    <row r="72" spans="1:8">
      <c r="A72" s="1" t="s">
        <v>76</v>
      </c>
      <c r="B72" s="2">
        <v>0.1486781537532806</v>
      </c>
      <c r="C72" s="1">
        <v>128</v>
      </c>
      <c r="D72" s="1">
        <v>0</v>
      </c>
      <c r="E72" s="1">
        <v>128</v>
      </c>
      <c r="F72" s="1">
        <v>0</v>
      </c>
      <c r="G72" s="1">
        <v>0</v>
      </c>
      <c r="H72" s="1">
        <v>0</v>
      </c>
    </row>
    <row r="73" spans="1:8">
      <c r="A73" s="1" t="s">
        <v>77</v>
      </c>
      <c r="B73" s="2">
        <v>0.1486781537532806</v>
      </c>
      <c r="C73" s="1">
        <v>128</v>
      </c>
      <c r="D73" s="1">
        <v>0</v>
      </c>
      <c r="E73" s="1">
        <v>128</v>
      </c>
      <c r="F73" s="1">
        <v>0</v>
      </c>
      <c r="G73" s="1">
        <v>0</v>
      </c>
      <c r="H73" s="1">
        <v>0</v>
      </c>
    </row>
    <row r="74" spans="1:8">
      <c r="A74" s="1" t="s">
        <v>78</v>
      </c>
      <c r="B74" s="2">
        <v>0.1440319716930389</v>
      </c>
      <c r="C74" s="1">
        <v>124</v>
      </c>
      <c r="D74" s="1">
        <v>0</v>
      </c>
      <c r="E74" s="1">
        <v>124</v>
      </c>
      <c r="F74" s="1">
        <v>0</v>
      </c>
      <c r="G74" s="1">
        <v>0</v>
      </c>
      <c r="H74" s="1">
        <v>0</v>
      </c>
    </row>
    <row r="75" spans="1:8">
      <c r="A75" s="1" t="s">
        <v>79</v>
      </c>
      <c r="B75" s="2">
        <v>0.1393857747316361</v>
      </c>
      <c r="C75" s="1">
        <v>120</v>
      </c>
      <c r="D75" s="1">
        <v>0</v>
      </c>
      <c r="E75" s="1">
        <v>120</v>
      </c>
      <c r="F75" s="1">
        <v>0</v>
      </c>
      <c r="G75" s="1">
        <v>0</v>
      </c>
      <c r="H75" s="1">
        <v>0</v>
      </c>
    </row>
    <row r="76" spans="1:8">
      <c r="A76" s="1" t="s">
        <v>80</v>
      </c>
      <c r="B76" s="2">
        <v>0.1393857747316361</v>
      </c>
      <c r="C76" s="1">
        <v>120</v>
      </c>
      <c r="D76" s="1">
        <v>0</v>
      </c>
      <c r="E76" s="1">
        <v>120</v>
      </c>
      <c r="F76" s="1">
        <v>0</v>
      </c>
      <c r="G76" s="1">
        <v>0</v>
      </c>
      <c r="H76" s="1">
        <v>0</v>
      </c>
    </row>
    <row r="77" spans="1:8">
      <c r="A77" s="1" t="s">
        <v>81</v>
      </c>
      <c r="B77" s="2">
        <v>0.1300933957099915</v>
      </c>
      <c r="C77" s="1">
        <v>112</v>
      </c>
      <c r="D77" s="1">
        <v>0</v>
      </c>
      <c r="E77" s="1">
        <v>112</v>
      </c>
      <c r="F77" s="1">
        <v>0</v>
      </c>
      <c r="G77" s="1">
        <v>0</v>
      </c>
      <c r="H77" s="1">
        <v>0</v>
      </c>
    </row>
    <row r="78" spans="1:8">
      <c r="A78" s="1" t="s">
        <v>20</v>
      </c>
      <c r="B78" s="2">
        <v>0.126608744263649</v>
      </c>
      <c r="C78" s="1">
        <v>109</v>
      </c>
      <c r="D78" s="1">
        <v>11</v>
      </c>
      <c r="E78" s="1">
        <v>108</v>
      </c>
      <c r="F78" s="1">
        <v>0</v>
      </c>
      <c r="G78" s="1">
        <v>1</v>
      </c>
      <c r="H78" s="1">
        <v>10</v>
      </c>
    </row>
    <row r="79" spans="1:8">
      <c r="A79" s="1" t="s">
        <v>82</v>
      </c>
      <c r="B79" s="2">
        <v>0.1254471987485886</v>
      </c>
      <c r="C79" s="1">
        <v>108</v>
      </c>
      <c r="D79" s="1">
        <v>0</v>
      </c>
      <c r="E79" s="1">
        <v>108</v>
      </c>
      <c r="F79" s="1">
        <v>0</v>
      </c>
      <c r="G79" s="1">
        <v>0</v>
      </c>
      <c r="H79" s="1">
        <v>0</v>
      </c>
    </row>
    <row r="80" spans="1:8">
      <c r="A80" s="1" t="s">
        <v>83</v>
      </c>
      <c r="B80" s="2">
        <v>0.1208010017871857</v>
      </c>
      <c r="C80" s="1">
        <v>104</v>
      </c>
      <c r="D80" s="1">
        <v>0</v>
      </c>
      <c r="E80" s="1">
        <v>104</v>
      </c>
      <c r="F80" s="1">
        <v>0</v>
      </c>
      <c r="G80" s="1">
        <v>0</v>
      </c>
      <c r="H80" s="1">
        <v>0</v>
      </c>
    </row>
    <row r="81" spans="1:8">
      <c r="A81" s="1" t="s">
        <v>84</v>
      </c>
      <c r="B81" s="2">
        <v>0.1208010017871857</v>
      </c>
      <c r="C81" s="1">
        <v>104</v>
      </c>
      <c r="D81" s="1">
        <v>0</v>
      </c>
      <c r="E81" s="1">
        <v>104</v>
      </c>
      <c r="F81" s="1">
        <v>0</v>
      </c>
      <c r="G81" s="1">
        <v>0</v>
      </c>
      <c r="H81" s="1">
        <v>0</v>
      </c>
    </row>
    <row r="82" spans="1:8">
      <c r="A82" s="1" t="s">
        <v>85</v>
      </c>
      <c r="B82" s="2">
        <v>0.1184779107570648</v>
      </c>
      <c r="C82" s="1">
        <v>102</v>
      </c>
      <c r="D82" s="1">
        <v>0</v>
      </c>
      <c r="E82" s="1">
        <v>102</v>
      </c>
      <c r="F82" s="1">
        <v>0</v>
      </c>
      <c r="G82" s="1">
        <v>0</v>
      </c>
      <c r="H82" s="1">
        <v>0</v>
      </c>
    </row>
    <row r="83" spans="1:8">
      <c r="A83" s="1" t="s">
        <v>86</v>
      </c>
      <c r="B83" s="2">
        <v>0.1161548122763634</v>
      </c>
      <c r="C83" s="1">
        <v>100</v>
      </c>
      <c r="D83" s="1">
        <v>0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87</v>
      </c>
      <c r="B84" s="2">
        <v>0.1161548122763634</v>
      </c>
      <c r="C84" s="1">
        <v>100</v>
      </c>
      <c r="D84" s="1">
        <v>0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88</v>
      </c>
      <c r="B85" s="2">
        <v>0.1138317137956619</v>
      </c>
      <c r="C85" s="1">
        <v>98</v>
      </c>
      <c r="D85" s="1">
        <v>0</v>
      </c>
      <c r="E85" s="1">
        <v>98</v>
      </c>
      <c r="F85" s="1">
        <v>0</v>
      </c>
      <c r="G85" s="1">
        <v>0</v>
      </c>
      <c r="H85" s="1">
        <v>0</v>
      </c>
    </row>
    <row r="86" spans="1:8">
      <c r="A86" s="1" t="s">
        <v>89</v>
      </c>
      <c r="B86" s="2">
        <v>0.1068624258041382</v>
      </c>
      <c r="C86" s="1">
        <v>92</v>
      </c>
      <c r="D86" s="1">
        <v>0</v>
      </c>
      <c r="E86" s="1">
        <v>92</v>
      </c>
      <c r="F86" s="1">
        <v>0</v>
      </c>
      <c r="G86" s="1">
        <v>0</v>
      </c>
      <c r="H86" s="1">
        <v>0</v>
      </c>
    </row>
    <row r="87" spans="1:8">
      <c r="A87" s="1" t="s">
        <v>90</v>
      </c>
      <c r="B87" s="2">
        <v>0.1068624258041382</v>
      </c>
      <c r="C87" s="1">
        <v>92</v>
      </c>
      <c r="D87" s="1">
        <v>0</v>
      </c>
      <c r="E87" s="1">
        <v>92</v>
      </c>
      <c r="F87" s="1">
        <v>0</v>
      </c>
      <c r="G87" s="1">
        <v>0</v>
      </c>
      <c r="H87" s="1">
        <v>0</v>
      </c>
    </row>
    <row r="88" spans="1:8">
      <c r="A88" s="1" t="s">
        <v>91</v>
      </c>
      <c r="B88" s="2">
        <v>0.1022162362933159</v>
      </c>
      <c r="C88" s="1">
        <v>88</v>
      </c>
      <c r="D88" s="1">
        <v>0</v>
      </c>
      <c r="E88" s="1">
        <v>88</v>
      </c>
      <c r="F88" s="1">
        <v>0</v>
      </c>
      <c r="G88" s="1">
        <v>0</v>
      </c>
      <c r="H88" s="1">
        <v>0</v>
      </c>
    </row>
    <row r="89" spans="1:8">
      <c r="A89" s="1" t="s">
        <v>19</v>
      </c>
      <c r="B89" s="2">
        <v>0.1022162362933159</v>
      </c>
      <c r="C89" s="1">
        <v>88</v>
      </c>
      <c r="D89" s="1">
        <v>12</v>
      </c>
      <c r="E89" s="1">
        <v>76</v>
      </c>
      <c r="F89" s="1">
        <v>0</v>
      </c>
      <c r="G89" s="1">
        <v>12</v>
      </c>
      <c r="H89" s="1">
        <v>0</v>
      </c>
    </row>
    <row r="90" spans="1:8">
      <c r="A90" s="1" t="s">
        <v>92</v>
      </c>
      <c r="B90" s="2">
        <v>0.09989313781261444</v>
      </c>
      <c r="C90" s="1">
        <v>86</v>
      </c>
      <c r="D90" s="1">
        <v>0</v>
      </c>
      <c r="E90" s="1">
        <v>86</v>
      </c>
      <c r="F90" s="1">
        <v>0</v>
      </c>
      <c r="G90" s="1">
        <v>0</v>
      </c>
      <c r="H90" s="1">
        <v>0</v>
      </c>
    </row>
    <row r="91" spans="1:8">
      <c r="A91" s="1" t="s">
        <v>93</v>
      </c>
      <c r="B91" s="2">
        <v>0.09989313781261444</v>
      </c>
      <c r="C91" s="1">
        <v>86</v>
      </c>
      <c r="D91" s="1">
        <v>0</v>
      </c>
      <c r="E91" s="1">
        <v>86</v>
      </c>
      <c r="F91" s="1">
        <v>0</v>
      </c>
      <c r="G91" s="1">
        <v>0</v>
      </c>
      <c r="H91" s="1">
        <v>0</v>
      </c>
    </row>
    <row r="92" spans="1:8">
      <c r="A92" s="1" t="s">
        <v>94</v>
      </c>
      <c r="B92" s="2">
        <v>0.09757003933191299</v>
      </c>
      <c r="C92" s="1">
        <v>84</v>
      </c>
      <c r="D92" s="1">
        <v>0</v>
      </c>
      <c r="E92" s="1">
        <v>84</v>
      </c>
      <c r="F92" s="1">
        <v>0</v>
      </c>
      <c r="G92" s="1">
        <v>0</v>
      </c>
      <c r="H92" s="1">
        <v>0</v>
      </c>
    </row>
    <row r="93" spans="1:8">
      <c r="A93" s="1" t="s">
        <v>95</v>
      </c>
      <c r="B93" s="2">
        <v>0.09524694830179215</v>
      </c>
      <c r="C93" s="1">
        <v>82</v>
      </c>
      <c r="D93" s="1">
        <v>0</v>
      </c>
      <c r="E93" s="1">
        <v>82</v>
      </c>
      <c r="F93" s="1">
        <v>0</v>
      </c>
      <c r="G93" s="1">
        <v>0</v>
      </c>
      <c r="H93" s="1">
        <v>0</v>
      </c>
    </row>
    <row r="94" spans="1:8">
      <c r="A94" s="1" t="s">
        <v>96</v>
      </c>
      <c r="B94" s="2">
        <v>0.09060075134038925</v>
      </c>
      <c r="C94" s="1">
        <v>78</v>
      </c>
      <c r="D94" s="1">
        <v>0</v>
      </c>
      <c r="E94" s="1">
        <v>78</v>
      </c>
      <c r="F94" s="1">
        <v>0</v>
      </c>
      <c r="G94" s="1">
        <v>0</v>
      </c>
      <c r="H94" s="1">
        <v>0</v>
      </c>
    </row>
    <row r="95" spans="1:8">
      <c r="A95" s="1" t="s">
        <v>97</v>
      </c>
      <c r="B95" s="2">
        <v>0.09060075134038925</v>
      </c>
      <c r="C95" s="1">
        <v>78</v>
      </c>
      <c r="D95" s="1">
        <v>0</v>
      </c>
      <c r="E95" s="1">
        <v>78</v>
      </c>
      <c r="F95" s="1">
        <v>0</v>
      </c>
      <c r="G95" s="1">
        <v>0</v>
      </c>
      <c r="H95" s="1">
        <v>0</v>
      </c>
    </row>
    <row r="96" spans="1:8">
      <c r="A96" s="1" t="s">
        <v>98</v>
      </c>
      <c r="B96" s="2">
        <v>0.08827765285968781</v>
      </c>
      <c r="C96" s="1">
        <v>76</v>
      </c>
      <c r="D96" s="1">
        <v>0</v>
      </c>
      <c r="E96" s="1">
        <v>76</v>
      </c>
      <c r="F96" s="1">
        <v>0</v>
      </c>
      <c r="G96" s="1">
        <v>0</v>
      </c>
      <c r="H96" s="1">
        <v>0</v>
      </c>
    </row>
    <row r="97" spans="1:8">
      <c r="A97" s="1" t="s">
        <v>99</v>
      </c>
      <c r="B97" s="2">
        <v>0.08595456182956696</v>
      </c>
      <c r="C97" s="1">
        <v>74</v>
      </c>
      <c r="D97" s="1">
        <v>0</v>
      </c>
      <c r="E97" s="1">
        <v>74</v>
      </c>
      <c r="F97" s="1">
        <v>0</v>
      </c>
      <c r="G97" s="1">
        <v>0</v>
      </c>
      <c r="H97" s="1">
        <v>0</v>
      </c>
    </row>
    <row r="98" spans="1:8">
      <c r="A98" s="1" t="s">
        <v>100</v>
      </c>
      <c r="B98" s="2">
        <v>0.08363146334886551</v>
      </c>
      <c r="C98" s="1">
        <v>72</v>
      </c>
      <c r="D98" s="1">
        <v>0</v>
      </c>
      <c r="E98" s="1">
        <v>72</v>
      </c>
      <c r="F98" s="1">
        <v>0</v>
      </c>
      <c r="G98" s="1">
        <v>0</v>
      </c>
      <c r="H98" s="1">
        <v>0</v>
      </c>
    </row>
    <row r="99" spans="1:8">
      <c r="A99" s="1" t="s">
        <v>101</v>
      </c>
      <c r="B99" s="2">
        <v>0.08363146334886551</v>
      </c>
      <c r="C99" s="1">
        <v>72</v>
      </c>
      <c r="D99" s="1">
        <v>0</v>
      </c>
      <c r="E99" s="1">
        <v>44</v>
      </c>
      <c r="F99" s="1">
        <v>28</v>
      </c>
      <c r="G99" s="1">
        <v>0</v>
      </c>
      <c r="H99" s="1">
        <v>0</v>
      </c>
    </row>
    <row r="100" spans="1:8">
      <c r="A100" s="1" t="s">
        <v>102</v>
      </c>
      <c r="B100" s="2">
        <v>0.07898527383804321</v>
      </c>
      <c r="C100" s="1">
        <v>68</v>
      </c>
      <c r="D100" s="1">
        <v>0</v>
      </c>
      <c r="E100" s="1">
        <v>68</v>
      </c>
      <c r="F100" s="1">
        <v>0</v>
      </c>
      <c r="G100" s="1">
        <v>0</v>
      </c>
      <c r="H100" s="1">
        <v>0</v>
      </c>
    </row>
    <row r="101" spans="1:8">
      <c r="A101" s="1" t="s">
        <v>103</v>
      </c>
      <c r="B101" s="2">
        <v>0.07898527383804321</v>
      </c>
      <c r="C101" s="1">
        <v>68</v>
      </c>
      <c r="D101" s="1">
        <v>0</v>
      </c>
      <c r="E101" s="1">
        <v>68</v>
      </c>
      <c r="F101" s="1">
        <v>0</v>
      </c>
      <c r="G101" s="1">
        <v>0</v>
      </c>
      <c r="H101" s="1">
        <v>0</v>
      </c>
    </row>
    <row r="102" spans="1:8">
      <c r="A102" s="1" t="s">
        <v>26</v>
      </c>
      <c r="B102" s="2">
        <v>0.07898527383804321</v>
      </c>
      <c r="C102" s="1">
        <v>68</v>
      </c>
      <c r="D102" s="1">
        <v>4</v>
      </c>
      <c r="E102" s="1">
        <v>64</v>
      </c>
      <c r="F102" s="1">
        <v>0</v>
      </c>
      <c r="G102" s="1">
        <v>4</v>
      </c>
      <c r="H102" s="1">
        <v>0</v>
      </c>
    </row>
    <row r="103" spans="1:8">
      <c r="A103" s="1" t="s">
        <v>104</v>
      </c>
      <c r="B103" s="2">
        <v>0.07433907687664032</v>
      </c>
      <c r="C103" s="1">
        <v>64</v>
      </c>
      <c r="D103" s="1">
        <v>0</v>
      </c>
      <c r="E103" s="1">
        <v>64</v>
      </c>
      <c r="F103" s="1">
        <v>0</v>
      </c>
      <c r="G103" s="1">
        <v>0</v>
      </c>
      <c r="H103" s="1">
        <v>0</v>
      </c>
    </row>
    <row r="104" spans="1:8">
      <c r="A104" s="1" t="s">
        <v>105</v>
      </c>
      <c r="B104" s="2">
        <v>0.07201598584651947</v>
      </c>
      <c r="C104" s="1">
        <v>62</v>
      </c>
      <c r="D104" s="1">
        <v>0</v>
      </c>
      <c r="E104" s="1">
        <v>62</v>
      </c>
      <c r="F104" s="1">
        <v>0</v>
      </c>
      <c r="G104" s="1">
        <v>0</v>
      </c>
      <c r="H104" s="1">
        <v>0</v>
      </c>
    </row>
    <row r="105" spans="1:8">
      <c r="A105" s="1" t="s">
        <v>106</v>
      </c>
      <c r="B105" s="2">
        <v>0.07201598584651947</v>
      </c>
      <c r="C105" s="1">
        <v>62</v>
      </c>
      <c r="D105" s="1">
        <v>0</v>
      </c>
      <c r="E105" s="1">
        <v>62</v>
      </c>
      <c r="F105" s="1">
        <v>0</v>
      </c>
      <c r="G105" s="1">
        <v>0</v>
      </c>
      <c r="H105" s="1">
        <v>0</v>
      </c>
    </row>
    <row r="106" spans="1:8">
      <c r="A106" s="1" t="s">
        <v>107</v>
      </c>
      <c r="B106" s="2">
        <v>0.06040050089359283</v>
      </c>
      <c r="C106" s="1">
        <v>52</v>
      </c>
      <c r="D106" s="1">
        <v>0</v>
      </c>
      <c r="E106" s="1">
        <v>52</v>
      </c>
      <c r="F106" s="1">
        <v>0</v>
      </c>
      <c r="G106" s="1">
        <v>0</v>
      </c>
      <c r="H106" s="1">
        <v>0</v>
      </c>
    </row>
    <row r="107" spans="1:8">
      <c r="A107" s="1" t="s">
        <v>108</v>
      </c>
      <c r="B107" s="2">
        <v>0.06040050089359283</v>
      </c>
      <c r="C107" s="1">
        <v>52</v>
      </c>
      <c r="D107" s="1">
        <v>0</v>
      </c>
      <c r="E107" s="1">
        <v>52</v>
      </c>
      <c r="F107" s="1">
        <v>0</v>
      </c>
      <c r="G107" s="1">
        <v>0</v>
      </c>
      <c r="H107" s="1">
        <v>0</v>
      </c>
    </row>
    <row r="108" spans="1:8">
      <c r="A108" s="1" t="s">
        <v>109</v>
      </c>
      <c r="B108" s="2">
        <v>0.05575430765748024</v>
      </c>
      <c r="C108" s="1">
        <v>48</v>
      </c>
      <c r="D108" s="1">
        <v>0</v>
      </c>
      <c r="E108" s="1">
        <v>48</v>
      </c>
      <c r="F108" s="1">
        <v>0</v>
      </c>
      <c r="G108" s="1">
        <v>0</v>
      </c>
      <c r="H108" s="1">
        <v>0</v>
      </c>
    </row>
    <row r="109" spans="1:8">
      <c r="A109" s="1" t="s">
        <v>110</v>
      </c>
      <c r="B109" s="2">
        <v>0.05575430765748024</v>
      </c>
      <c r="C109" s="1">
        <v>48</v>
      </c>
      <c r="D109" s="1">
        <v>0</v>
      </c>
      <c r="E109" s="1">
        <v>48</v>
      </c>
      <c r="F109" s="1">
        <v>0</v>
      </c>
      <c r="G109" s="1">
        <v>0</v>
      </c>
      <c r="H109" s="1">
        <v>0</v>
      </c>
    </row>
    <row r="110" spans="1:8">
      <c r="A110" s="1" t="s">
        <v>111</v>
      </c>
      <c r="B110" s="2">
        <v>0.05575430765748024</v>
      </c>
      <c r="C110" s="1">
        <v>48</v>
      </c>
      <c r="D110" s="1">
        <v>0</v>
      </c>
      <c r="E110" s="1">
        <v>48</v>
      </c>
      <c r="F110" s="1">
        <v>0</v>
      </c>
      <c r="G110" s="1">
        <v>0</v>
      </c>
      <c r="H110" s="1">
        <v>0</v>
      </c>
    </row>
    <row r="111" spans="1:8">
      <c r="A111" s="1" t="s">
        <v>112</v>
      </c>
      <c r="B111" s="2">
        <v>0.05110811814665794</v>
      </c>
      <c r="C111" s="1">
        <v>44</v>
      </c>
      <c r="D111" s="1">
        <v>0</v>
      </c>
      <c r="E111" s="1">
        <v>44</v>
      </c>
      <c r="F111" s="1">
        <v>0</v>
      </c>
      <c r="G111" s="1">
        <v>0</v>
      </c>
      <c r="H111" s="1">
        <v>0</v>
      </c>
    </row>
    <row r="112" spans="1:8">
      <c r="A112" s="1" t="s">
        <v>113</v>
      </c>
      <c r="B112" s="2">
        <v>0.05110811814665794</v>
      </c>
      <c r="C112" s="1">
        <v>44</v>
      </c>
      <c r="D112" s="1">
        <v>0</v>
      </c>
      <c r="E112" s="1">
        <v>44</v>
      </c>
      <c r="F112" s="1">
        <v>0</v>
      </c>
      <c r="G112" s="1">
        <v>0</v>
      </c>
      <c r="H112" s="1">
        <v>0</v>
      </c>
    </row>
    <row r="113" spans="1:8">
      <c r="A113" s="1" t="s">
        <v>114</v>
      </c>
      <c r="B113" s="2">
        <v>0.05110811814665794</v>
      </c>
      <c r="C113" s="1">
        <v>44</v>
      </c>
      <c r="D113" s="1">
        <v>0</v>
      </c>
      <c r="E113" s="1">
        <v>44</v>
      </c>
      <c r="F113" s="1">
        <v>0</v>
      </c>
      <c r="G113" s="1">
        <v>0</v>
      </c>
      <c r="H113" s="1">
        <v>0</v>
      </c>
    </row>
    <row r="114" spans="1:8">
      <c r="A114" s="1" t="s">
        <v>115</v>
      </c>
      <c r="B114" s="2">
        <v>0.04646192491054535</v>
      </c>
      <c r="C114" s="1">
        <v>40</v>
      </c>
      <c r="D114" s="1">
        <v>0</v>
      </c>
      <c r="E114" s="1">
        <v>40</v>
      </c>
      <c r="F114" s="1">
        <v>0</v>
      </c>
      <c r="G114" s="1">
        <v>0</v>
      </c>
      <c r="H114" s="1">
        <v>0</v>
      </c>
    </row>
    <row r="115" spans="1:8">
      <c r="A115" s="1" t="s">
        <v>116</v>
      </c>
      <c r="B115" s="2">
        <v>0.04646192491054535</v>
      </c>
      <c r="C115" s="1">
        <v>40</v>
      </c>
      <c r="D115" s="1">
        <v>0</v>
      </c>
      <c r="E115" s="1">
        <v>40</v>
      </c>
      <c r="F115" s="1">
        <v>0</v>
      </c>
      <c r="G115" s="1">
        <v>0</v>
      </c>
      <c r="H115" s="1">
        <v>0</v>
      </c>
    </row>
    <row r="116" spans="1:8">
      <c r="A116" s="1" t="s">
        <v>117</v>
      </c>
      <c r="B116" s="2">
        <v>0.0441388264298439</v>
      </c>
      <c r="C116" s="1">
        <v>38</v>
      </c>
      <c r="D116" s="1">
        <v>0</v>
      </c>
      <c r="E116" s="1">
        <v>38</v>
      </c>
      <c r="F116" s="1">
        <v>0</v>
      </c>
      <c r="G116" s="1">
        <v>0</v>
      </c>
      <c r="H116" s="1">
        <v>0</v>
      </c>
    </row>
    <row r="117" spans="1:8">
      <c r="A117" s="1" t="s">
        <v>30</v>
      </c>
      <c r="B117" s="2">
        <v>0.04297728091478348</v>
      </c>
      <c r="C117" s="1">
        <v>37</v>
      </c>
      <c r="D117" s="1">
        <v>1</v>
      </c>
      <c r="E117" s="1">
        <v>36</v>
      </c>
      <c r="F117" s="1">
        <v>0</v>
      </c>
      <c r="G117" s="1">
        <v>1</v>
      </c>
      <c r="H117" s="1">
        <v>0</v>
      </c>
    </row>
    <row r="118" spans="1:8">
      <c r="A118" s="1" t="s">
        <v>118</v>
      </c>
      <c r="B118" s="2">
        <v>0.04181573167443276</v>
      </c>
      <c r="C118" s="1">
        <v>36</v>
      </c>
      <c r="D118" s="1">
        <v>0</v>
      </c>
      <c r="E118" s="1">
        <v>36</v>
      </c>
      <c r="F118" s="1">
        <v>0</v>
      </c>
      <c r="G118" s="1">
        <v>0</v>
      </c>
      <c r="H118" s="1">
        <v>0</v>
      </c>
    </row>
    <row r="119" spans="1:8">
      <c r="A119" s="1" t="s">
        <v>119</v>
      </c>
      <c r="B119" s="2">
        <v>0.04181573167443276</v>
      </c>
      <c r="C119" s="1">
        <v>36</v>
      </c>
      <c r="D119" s="1">
        <v>0</v>
      </c>
      <c r="E119" s="1">
        <v>36</v>
      </c>
      <c r="F119" s="1">
        <v>0</v>
      </c>
      <c r="G119" s="1">
        <v>0</v>
      </c>
      <c r="H119" s="1">
        <v>0</v>
      </c>
    </row>
    <row r="120" spans="1:8">
      <c r="A120" s="1" t="s">
        <v>120</v>
      </c>
      <c r="B120" s="2">
        <v>0.03484644368290901</v>
      </c>
      <c r="C120" s="1">
        <v>30</v>
      </c>
      <c r="D120" s="1">
        <v>0</v>
      </c>
      <c r="E120" s="1">
        <v>30</v>
      </c>
      <c r="F120" s="1">
        <v>0</v>
      </c>
      <c r="G120" s="1">
        <v>0</v>
      </c>
      <c r="H120" s="1">
        <v>0</v>
      </c>
    </row>
    <row r="121" spans="1:8">
      <c r="A121" s="1" t="s">
        <v>25</v>
      </c>
      <c r="B121" s="2">
        <v>0.03484644368290901</v>
      </c>
      <c r="C121" s="1">
        <v>30</v>
      </c>
      <c r="D121" s="1">
        <v>4</v>
      </c>
      <c r="E121" s="1">
        <v>2</v>
      </c>
      <c r="F121" s="1">
        <v>24</v>
      </c>
      <c r="G121" s="1">
        <v>4</v>
      </c>
      <c r="H121" s="1">
        <v>0</v>
      </c>
    </row>
    <row r="122" spans="1:8">
      <c r="A122" s="1" t="s">
        <v>121</v>
      </c>
      <c r="B122" s="2">
        <v>0.03252334892749786</v>
      </c>
      <c r="C122" s="1">
        <v>28</v>
      </c>
      <c r="D122" s="1">
        <v>0</v>
      </c>
      <c r="E122" s="1">
        <v>28</v>
      </c>
      <c r="F122" s="1">
        <v>0</v>
      </c>
      <c r="G122" s="1">
        <v>0</v>
      </c>
      <c r="H122" s="1">
        <v>0</v>
      </c>
    </row>
    <row r="123" spans="1:8">
      <c r="A123" s="1" t="s">
        <v>122</v>
      </c>
      <c r="B123" s="2">
        <v>0.03020025044679642</v>
      </c>
      <c r="C123" s="1">
        <v>26</v>
      </c>
      <c r="D123" s="1">
        <v>0</v>
      </c>
      <c r="E123" s="1">
        <v>26</v>
      </c>
      <c r="F123" s="1">
        <v>0</v>
      </c>
      <c r="G123" s="1">
        <v>0</v>
      </c>
      <c r="H123" s="1">
        <v>0</v>
      </c>
    </row>
    <row r="124" spans="1:8">
      <c r="A124" s="1" t="s">
        <v>123</v>
      </c>
      <c r="B124" s="2">
        <v>0.02787715382874012</v>
      </c>
      <c r="C124" s="1">
        <v>24</v>
      </c>
      <c r="D124" s="1">
        <v>0</v>
      </c>
      <c r="E124" s="1">
        <v>24</v>
      </c>
      <c r="F124" s="1">
        <v>0</v>
      </c>
      <c r="G124" s="1">
        <v>0</v>
      </c>
      <c r="H124" s="1">
        <v>0</v>
      </c>
    </row>
    <row r="125" spans="1:8">
      <c r="A125" s="1" t="s">
        <v>124</v>
      </c>
      <c r="B125" s="2">
        <v>0.02787715382874012</v>
      </c>
      <c r="C125" s="1">
        <v>24</v>
      </c>
      <c r="D125" s="1">
        <v>0</v>
      </c>
      <c r="E125" s="1">
        <v>24</v>
      </c>
      <c r="F125" s="1">
        <v>0</v>
      </c>
      <c r="G125" s="1">
        <v>0</v>
      </c>
      <c r="H125" s="1">
        <v>0</v>
      </c>
    </row>
    <row r="126" spans="1:8">
      <c r="A126" s="1" t="s">
        <v>125</v>
      </c>
      <c r="B126" s="2">
        <v>0.02787715382874012</v>
      </c>
      <c r="C126" s="1">
        <v>24</v>
      </c>
      <c r="D126" s="1">
        <v>0</v>
      </c>
      <c r="E126" s="1">
        <v>24</v>
      </c>
      <c r="F126" s="1">
        <v>0</v>
      </c>
      <c r="G126" s="1">
        <v>0</v>
      </c>
      <c r="H126" s="1">
        <v>0</v>
      </c>
    </row>
    <row r="127" spans="1:8">
      <c r="A127" s="1" t="s">
        <v>126</v>
      </c>
      <c r="B127" s="2">
        <v>0.02555405907332897</v>
      </c>
      <c r="C127" s="1">
        <v>22</v>
      </c>
      <c r="D127" s="1">
        <v>0</v>
      </c>
      <c r="E127" s="1">
        <v>22</v>
      </c>
      <c r="F127" s="1">
        <v>0</v>
      </c>
      <c r="G127" s="1">
        <v>0</v>
      </c>
      <c r="H127" s="1">
        <v>0</v>
      </c>
    </row>
    <row r="128" spans="1:8">
      <c r="A128" s="1" t="s">
        <v>127</v>
      </c>
      <c r="B128" s="2">
        <v>0.02323096245527268</v>
      </c>
      <c r="C128" s="1">
        <v>20</v>
      </c>
      <c r="D128" s="1">
        <v>0</v>
      </c>
      <c r="E128" s="1">
        <v>20</v>
      </c>
      <c r="F128" s="1">
        <v>0</v>
      </c>
      <c r="G128" s="1">
        <v>0</v>
      </c>
      <c r="H128" s="1">
        <v>0</v>
      </c>
    </row>
    <row r="129" spans="1:8">
      <c r="A129" s="1" t="s">
        <v>128</v>
      </c>
      <c r="B129" s="2">
        <v>0.02323096245527268</v>
      </c>
      <c r="C129" s="1">
        <v>20</v>
      </c>
      <c r="D129" s="1">
        <v>0</v>
      </c>
      <c r="E129" s="1">
        <v>20</v>
      </c>
      <c r="F129" s="1">
        <v>0</v>
      </c>
      <c r="G129" s="1">
        <v>0</v>
      </c>
      <c r="H129" s="1">
        <v>0</v>
      </c>
    </row>
    <row r="130" spans="1:8">
      <c r="A130" s="1" t="s">
        <v>129</v>
      </c>
      <c r="B130" s="2">
        <v>0.02090786583721638</v>
      </c>
      <c r="C130" s="1">
        <v>18</v>
      </c>
      <c r="D130" s="1">
        <v>0</v>
      </c>
      <c r="E130" s="1">
        <v>18</v>
      </c>
      <c r="F130" s="1">
        <v>0</v>
      </c>
      <c r="G130" s="1">
        <v>0</v>
      </c>
      <c r="H130" s="1">
        <v>0</v>
      </c>
    </row>
    <row r="131" spans="1:8">
      <c r="A131" s="1" t="s">
        <v>130</v>
      </c>
      <c r="B131" s="2">
        <v>0.01858476921916008</v>
      </c>
      <c r="C131" s="1">
        <v>16</v>
      </c>
      <c r="D131" s="1">
        <v>0</v>
      </c>
      <c r="E131" s="1">
        <v>16</v>
      </c>
      <c r="F131" s="1">
        <v>0</v>
      </c>
      <c r="G131" s="1">
        <v>0</v>
      </c>
      <c r="H131" s="1">
        <v>0</v>
      </c>
    </row>
    <row r="132" spans="1:8">
      <c r="A132" s="1" t="s">
        <v>131</v>
      </c>
      <c r="B132" s="2">
        <v>0.01858476921916008</v>
      </c>
      <c r="C132" s="1">
        <v>16</v>
      </c>
      <c r="D132" s="1">
        <v>0</v>
      </c>
      <c r="E132" s="1">
        <v>16</v>
      </c>
      <c r="F132" s="1">
        <v>0</v>
      </c>
      <c r="G132" s="1">
        <v>0</v>
      </c>
      <c r="H132" s="1">
        <v>0</v>
      </c>
    </row>
    <row r="133" spans="1:8">
      <c r="A133" s="1" t="s">
        <v>132</v>
      </c>
      <c r="B133" s="2">
        <v>0.01858476921916008</v>
      </c>
      <c r="C133" s="1">
        <v>16</v>
      </c>
      <c r="D133" s="1">
        <v>0</v>
      </c>
      <c r="E133" s="1">
        <v>16</v>
      </c>
      <c r="F133" s="1">
        <v>0</v>
      </c>
      <c r="G133" s="1">
        <v>0</v>
      </c>
      <c r="H133" s="1">
        <v>0</v>
      </c>
    </row>
    <row r="134" spans="1:8">
      <c r="A134" s="1" t="s">
        <v>133</v>
      </c>
      <c r="B134" s="2">
        <v>0.01858476921916008</v>
      </c>
      <c r="C134" s="1">
        <v>16</v>
      </c>
      <c r="D134" s="1">
        <v>0</v>
      </c>
      <c r="E134" s="1">
        <v>16</v>
      </c>
      <c r="F134" s="1">
        <v>0</v>
      </c>
      <c r="G134" s="1">
        <v>0</v>
      </c>
      <c r="H134" s="1">
        <v>0</v>
      </c>
    </row>
    <row r="135" spans="1:8">
      <c r="A135" s="1" t="s">
        <v>134</v>
      </c>
      <c r="B135" s="2">
        <v>0.01626167446374893</v>
      </c>
      <c r="C135" s="1">
        <v>14</v>
      </c>
      <c r="D135" s="1">
        <v>0</v>
      </c>
      <c r="E135" s="1">
        <v>14</v>
      </c>
      <c r="F135" s="1">
        <v>0</v>
      </c>
      <c r="G135" s="1">
        <v>0</v>
      </c>
      <c r="H135" s="1">
        <v>0</v>
      </c>
    </row>
    <row r="136" spans="1:8">
      <c r="A136" s="1" t="s">
        <v>135</v>
      </c>
      <c r="B136" s="2">
        <v>0.01393857691437006</v>
      </c>
      <c r="C136" s="1">
        <v>12</v>
      </c>
      <c r="D136" s="1">
        <v>0</v>
      </c>
      <c r="E136" s="1">
        <v>12</v>
      </c>
      <c r="F136" s="1">
        <v>0</v>
      </c>
      <c r="G136" s="1">
        <v>0</v>
      </c>
      <c r="H136" s="1">
        <v>0</v>
      </c>
    </row>
    <row r="137" spans="1:8">
      <c r="A137" s="1" t="s">
        <v>136</v>
      </c>
      <c r="B137" s="2">
        <v>0.01393857691437006</v>
      </c>
      <c r="C137" s="1">
        <v>12</v>
      </c>
      <c r="D137" s="1">
        <v>0</v>
      </c>
      <c r="E137" s="1">
        <v>12</v>
      </c>
      <c r="F137" s="1">
        <v>0</v>
      </c>
      <c r="G137" s="1">
        <v>0</v>
      </c>
      <c r="H137" s="1">
        <v>0</v>
      </c>
    </row>
    <row r="138" spans="1:8">
      <c r="A138" s="1" t="s">
        <v>137</v>
      </c>
      <c r="B138" s="2">
        <v>0.01393857691437006</v>
      </c>
      <c r="C138" s="1">
        <v>12</v>
      </c>
      <c r="D138" s="1">
        <v>0</v>
      </c>
      <c r="E138" s="1">
        <v>12</v>
      </c>
      <c r="F138" s="1">
        <v>0</v>
      </c>
      <c r="G138" s="1">
        <v>0</v>
      </c>
      <c r="H138" s="1">
        <v>0</v>
      </c>
    </row>
    <row r="139" spans="1:8">
      <c r="A139" s="1" t="s">
        <v>138</v>
      </c>
      <c r="B139" s="2">
        <v>0.01161548122763634</v>
      </c>
      <c r="C139" s="1">
        <v>10</v>
      </c>
      <c r="D139" s="1">
        <v>0</v>
      </c>
      <c r="E139" s="1">
        <v>10</v>
      </c>
      <c r="F139" s="1">
        <v>0</v>
      </c>
      <c r="G139" s="1">
        <v>0</v>
      </c>
      <c r="H139" s="1">
        <v>0</v>
      </c>
    </row>
    <row r="140" spans="1:8">
      <c r="A140" s="1" t="s">
        <v>139</v>
      </c>
      <c r="B140" s="2">
        <v>0.01161548122763634</v>
      </c>
      <c r="C140" s="1">
        <v>10</v>
      </c>
      <c r="D140" s="1">
        <v>0</v>
      </c>
      <c r="E140" s="1">
        <v>10</v>
      </c>
      <c r="F140" s="1">
        <v>0</v>
      </c>
      <c r="G140" s="1">
        <v>0</v>
      </c>
      <c r="H140" s="1">
        <v>0</v>
      </c>
    </row>
    <row r="141" spans="1:8">
      <c r="A141" s="1" t="s">
        <v>140</v>
      </c>
      <c r="B141" s="2">
        <v>0.01161548122763634</v>
      </c>
      <c r="C141" s="1">
        <v>10</v>
      </c>
      <c r="D141" s="1">
        <v>0</v>
      </c>
      <c r="E141" s="1">
        <v>10</v>
      </c>
      <c r="F141" s="1">
        <v>0</v>
      </c>
      <c r="G141" s="1">
        <v>0</v>
      </c>
      <c r="H141" s="1">
        <v>0</v>
      </c>
    </row>
    <row r="142" spans="1:8">
      <c r="A142" s="1" t="s">
        <v>141</v>
      </c>
      <c r="B142" s="2">
        <v>0.01161548122763634</v>
      </c>
      <c r="C142" s="1">
        <v>10</v>
      </c>
      <c r="D142" s="1">
        <v>0</v>
      </c>
      <c r="E142" s="1">
        <v>10</v>
      </c>
      <c r="F142" s="1">
        <v>0</v>
      </c>
      <c r="G142" s="1">
        <v>0</v>
      </c>
      <c r="H142" s="1">
        <v>0</v>
      </c>
    </row>
    <row r="143" spans="1:8">
      <c r="A143" s="1" t="s">
        <v>142</v>
      </c>
      <c r="B143" s="2">
        <v>0.01161548122763634</v>
      </c>
      <c r="C143" s="1">
        <v>10</v>
      </c>
      <c r="D143" s="1">
        <v>0</v>
      </c>
      <c r="E143" s="1">
        <v>10</v>
      </c>
      <c r="F143" s="1">
        <v>0</v>
      </c>
      <c r="G143" s="1">
        <v>0</v>
      </c>
      <c r="H143" s="1">
        <v>0</v>
      </c>
    </row>
    <row r="144" spans="1:8">
      <c r="A144" s="1" t="s">
        <v>143</v>
      </c>
      <c r="B144" s="2">
        <v>0.00929238460958004</v>
      </c>
      <c r="C144" s="1">
        <v>8</v>
      </c>
      <c r="D144" s="1">
        <v>0</v>
      </c>
      <c r="E144" s="1">
        <v>0</v>
      </c>
      <c r="F144" s="1">
        <v>8</v>
      </c>
      <c r="G144" s="1">
        <v>0</v>
      </c>
      <c r="H144" s="1">
        <v>0</v>
      </c>
    </row>
    <row r="145" spans="1:8">
      <c r="A145" s="1" t="s">
        <v>144</v>
      </c>
      <c r="B145" s="2">
        <v>0.00929238460958004</v>
      </c>
      <c r="C145" s="1">
        <v>8</v>
      </c>
      <c r="D145" s="1">
        <v>0</v>
      </c>
      <c r="E145" s="1">
        <v>8</v>
      </c>
      <c r="F145" s="1">
        <v>0</v>
      </c>
      <c r="G145" s="1">
        <v>0</v>
      </c>
      <c r="H145" s="1">
        <v>0</v>
      </c>
    </row>
    <row r="146" spans="1:8">
      <c r="A146" s="1" t="s">
        <v>145</v>
      </c>
      <c r="B146" s="2">
        <v>0.00929238460958004</v>
      </c>
      <c r="C146" s="1">
        <v>8</v>
      </c>
      <c r="D146" s="1">
        <v>0</v>
      </c>
      <c r="E146" s="1">
        <v>8</v>
      </c>
      <c r="F146" s="1">
        <v>0</v>
      </c>
      <c r="G146" s="1">
        <v>0</v>
      </c>
      <c r="H146" s="1">
        <v>0</v>
      </c>
    </row>
    <row r="147" spans="1:8">
      <c r="A147" s="1" t="s">
        <v>9</v>
      </c>
      <c r="B147" s="2">
        <v>0.00929238460958004</v>
      </c>
      <c r="C147" s="1">
        <v>8</v>
      </c>
      <c r="D147" s="1">
        <v>96</v>
      </c>
      <c r="E147" s="1">
        <v>8</v>
      </c>
      <c r="F147" s="1">
        <v>0</v>
      </c>
      <c r="G147" s="1">
        <v>0</v>
      </c>
      <c r="H147" s="1">
        <v>96</v>
      </c>
    </row>
    <row r="148" spans="1:8">
      <c r="A148" s="1" t="s">
        <v>146</v>
      </c>
      <c r="B148" s="2">
        <v>0.00929238460958004</v>
      </c>
      <c r="C148" s="1">
        <v>8</v>
      </c>
      <c r="D148" s="1">
        <v>0</v>
      </c>
      <c r="E148" s="1">
        <v>8</v>
      </c>
      <c r="F148" s="1">
        <v>0</v>
      </c>
      <c r="G148" s="1">
        <v>0</v>
      </c>
      <c r="H148" s="1">
        <v>0</v>
      </c>
    </row>
    <row r="149" spans="1:8">
      <c r="A149" s="1" t="s">
        <v>147</v>
      </c>
      <c r="B149" s="2">
        <v>0.00929238460958004</v>
      </c>
      <c r="C149" s="1">
        <v>8</v>
      </c>
      <c r="D149" s="1">
        <v>0</v>
      </c>
      <c r="E149" s="1">
        <v>8</v>
      </c>
      <c r="F149" s="1">
        <v>0</v>
      </c>
      <c r="G149" s="1">
        <v>0</v>
      </c>
      <c r="H149" s="1">
        <v>0</v>
      </c>
    </row>
    <row r="150" spans="1:8">
      <c r="A150" s="1" t="s">
        <v>148</v>
      </c>
      <c r="B150" s="2">
        <v>0.00696928845718503</v>
      </c>
      <c r="C150" s="1">
        <v>6</v>
      </c>
      <c r="D150" s="1">
        <v>0</v>
      </c>
      <c r="E150" s="1">
        <v>6</v>
      </c>
      <c r="F150" s="1">
        <v>0</v>
      </c>
      <c r="G150" s="1">
        <v>0</v>
      </c>
      <c r="H150" s="1">
        <v>0</v>
      </c>
    </row>
    <row r="151" spans="1:8">
      <c r="A151" s="1" t="s">
        <v>149</v>
      </c>
      <c r="B151" s="2">
        <v>0.00696928845718503</v>
      </c>
      <c r="C151" s="1">
        <v>6</v>
      </c>
      <c r="D151" s="1">
        <v>0</v>
      </c>
      <c r="E151" s="1">
        <v>6</v>
      </c>
      <c r="F151" s="1">
        <v>0</v>
      </c>
      <c r="G151" s="1">
        <v>0</v>
      </c>
      <c r="H151" s="1">
        <v>0</v>
      </c>
    </row>
    <row r="152" spans="1:8">
      <c r="A152" s="1" t="s">
        <v>150</v>
      </c>
      <c r="B152" s="2">
        <v>0.00696928845718503</v>
      </c>
      <c r="C152" s="1">
        <v>6</v>
      </c>
      <c r="D152" s="1">
        <v>0</v>
      </c>
      <c r="E152" s="1">
        <v>6</v>
      </c>
      <c r="F152" s="1">
        <v>0</v>
      </c>
      <c r="G152" s="1">
        <v>0</v>
      </c>
      <c r="H152" s="1">
        <v>0</v>
      </c>
    </row>
    <row r="153" spans="1:8">
      <c r="A153" s="1" t="s">
        <v>151</v>
      </c>
      <c r="B153" s="2">
        <v>0.00696928845718503</v>
      </c>
      <c r="C153" s="1">
        <v>6</v>
      </c>
      <c r="D153" s="1">
        <v>0</v>
      </c>
      <c r="E153" s="1">
        <v>6</v>
      </c>
      <c r="F153" s="1">
        <v>0</v>
      </c>
      <c r="G153" s="1">
        <v>0</v>
      </c>
      <c r="H153" s="1">
        <v>0</v>
      </c>
    </row>
    <row r="154" spans="1:8">
      <c r="A154" s="1" t="s">
        <v>152</v>
      </c>
      <c r="B154" s="2">
        <v>0.00696928845718503</v>
      </c>
      <c r="C154" s="1">
        <v>6</v>
      </c>
      <c r="D154" s="1">
        <v>0</v>
      </c>
      <c r="E154" s="1">
        <v>6</v>
      </c>
      <c r="F154" s="1">
        <v>0</v>
      </c>
      <c r="G154" s="1">
        <v>0</v>
      </c>
      <c r="H154" s="1">
        <v>0</v>
      </c>
    </row>
    <row r="155" spans="1:8">
      <c r="A155" s="1" t="s">
        <v>153</v>
      </c>
      <c r="B155" s="2">
        <v>0.00696928845718503</v>
      </c>
      <c r="C155" s="1">
        <v>6</v>
      </c>
      <c r="D155" s="1">
        <v>0</v>
      </c>
      <c r="E155" s="1">
        <v>6</v>
      </c>
      <c r="F155" s="1">
        <v>0</v>
      </c>
      <c r="G155" s="1">
        <v>0</v>
      </c>
      <c r="H155" s="1">
        <v>0</v>
      </c>
    </row>
    <row r="156" spans="1:8">
      <c r="A156" s="1" t="s">
        <v>154</v>
      </c>
      <c r="B156" s="2">
        <v>0.00696928845718503</v>
      </c>
      <c r="C156" s="1">
        <v>6</v>
      </c>
      <c r="D156" s="1">
        <v>0</v>
      </c>
      <c r="E156" s="1">
        <v>6</v>
      </c>
      <c r="F156" s="1">
        <v>0</v>
      </c>
      <c r="G156" s="1">
        <v>0</v>
      </c>
      <c r="H156" s="1">
        <v>0</v>
      </c>
    </row>
    <row r="157" spans="1:8">
      <c r="A157" s="1" t="s">
        <v>155</v>
      </c>
      <c r="B157" s="2">
        <v>0.00696928845718503</v>
      </c>
      <c r="C157" s="1">
        <v>6</v>
      </c>
      <c r="D157" s="1">
        <v>0</v>
      </c>
      <c r="E157" s="1">
        <v>6</v>
      </c>
      <c r="F157" s="1">
        <v>0</v>
      </c>
      <c r="G157" s="1">
        <v>0</v>
      </c>
      <c r="H157" s="1">
        <v>0</v>
      </c>
    </row>
    <row r="158" spans="1:8">
      <c r="A158" s="1" t="s">
        <v>156</v>
      </c>
      <c r="B158" s="2">
        <v>0.00696928845718503</v>
      </c>
      <c r="C158" s="1">
        <v>6</v>
      </c>
      <c r="D158" s="1">
        <v>0</v>
      </c>
      <c r="E158" s="1">
        <v>6</v>
      </c>
      <c r="F158" s="1">
        <v>0</v>
      </c>
      <c r="G158" s="1">
        <v>0</v>
      </c>
      <c r="H158" s="1">
        <v>0</v>
      </c>
    </row>
    <row r="159" spans="1:8">
      <c r="A159" s="1" t="s">
        <v>157</v>
      </c>
      <c r="B159" s="2">
        <v>0.00696928845718503</v>
      </c>
      <c r="C159" s="1">
        <v>6</v>
      </c>
      <c r="D159" s="1">
        <v>0</v>
      </c>
      <c r="E159" s="1">
        <v>6</v>
      </c>
      <c r="F159" s="1">
        <v>0</v>
      </c>
      <c r="G159" s="1">
        <v>0</v>
      </c>
      <c r="H159" s="1">
        <v>0</v>
      </c>
    </row>
    <row r="160" spans="1:8">
      <c r="A160" s="1" t="s">
        <v>158</v>
      </c>
      <c r="B160" s="2">
        <v>0.00696928845718503</v>
      </c>
      <c r="C160" s="1">
        <v>6</v>
      </c>
      <c r="D160" s="1">
        <v>0</v>
      </c>
      <c r="E160" s="1">
        <v>6</v>
      </c>
      <c r="F160" s="1">
        <v>0</v>
      </c>
      <c r="G160" s="1">
        <v>0</v>
      </c>
      <c r="H160" s="1">
        <v>0</v>
      </c>
    </row>
    <row r="161" spans="1:8">
      <c r="A161" s="1" t="s">
        <v>159</v>
      </c>
      <c r="B161" s="2">
        <v>0.00696928845718503</v>
      </c>
      <c r="C161" s="1">
        <v>6</v>
      </c>
      <c r="D161" s="1">
        <v>0</v>
      </c>
      <c r="E161" s="1">
        <v>6</v>
      </c>
      <c r="F161" s="1">
        <v>0</v>
      </c>
      <c r="G161" s="1">
        <v>0</v>
      </c>
      <c r="H161" s="1">
        <v>0</v>
      </c>
    </row>
    <row r="162" spans="1:8">
      <c r="A162" s="1" t="s">
        <v>160</v>
      </c>
      <c r="B162" s="2">
        <v>0.00696928845718503</v>
      </c>
      <c r="C162" s="1">
        <v>6</v>
      </c>
      <c r="D162" s="1">
        <v>0</v>
      </c>
      <c r="E162" s="1">
        <v>6</v>
      </c>
      <c r="F162" s="1">
        <v>0</v>
      </c>
      <c r="G162" s="1">
        <v>0</v>
      </c>
      <c r="H162" s="1">
        <v>0</v>
      </c>
    </row>
    <row r="163" spans="1:8">
      <c r="A163" s="1" t="s">
        <v>161</v>
      </c>
      <c r="B163" s="2">
        <v>0.00696928845718503</v>
      </c>
      <c r="C163" s="1">
        <v>6</v>
      </c>
      <c r="D163" s="1">
        <v>0</v>
      </c>
      <c r="E163" s="1">
        <v>6</v>
      </c>
      <c r="F163" s="1">
        <v>0</v>
      </c>
      <c r="G163" s="1">
        <v>0</v>
      </c>
      <c r="H163" s="1">
        <v>0</v>
      </c>
    </row>
    <row r="164" spans="1:8">
      <c r="A164" s="1" t="s">
        <v>162</v>
      </c>
      <c r="B164" s="2">
        <v>0.00696928845718503</v>
      </c>
      <c r="C164" s="1">
        <v>6</v>
      </c>
      <c r="D164" s="1">
        <v>0</v>
      </c>
      <c r="E164" s="1">
        <v>6</v>
      </c>
      <c r="F164" s="1">
        <v>0</v>
      </c>
      <c r="G164" s="1">
        <v>0</v>
      </c>
      <c r="H164" s="1">
        <v>0</v>
      </c>
    </row>
    <row r="165" spans="1:8">
      <c r="A165" s="1" t="s">
        <v>163</v>
      </c>
      <c r="B165" s="2">
        <v>0.00696928845718503</v>
      </c>
      <c r="C165" s="1">
        <v>6</v>
      </c>
      <c r="D165" s="1">
        <v>0</v>
      </c>
      <c r="E165" s="1">
        <v>6</v>
      </c>
      <c r="F165" s="1">
        <v>0</v>
      </c>
      <c r="G165" s="1">
        <v>0</v>
      </c>
      <c r="H165" s="1">
        <v>0</v>
      </c>
    </row>
    <row r="166" spans="1:8">
      <c r="A166" s="1" t="s">
        <v>164</v>
      </c>
      <c r="B166" s="2">
        <v>0.00696928845718503</v>
      </c>
      <c r="C166" s="1">
        <v>6</v>
      </c>
      <c r="D166" s="1">
        <v>0</v>
      </c>
      <c r="E166" s="1">
        <v>6</v>
      </c>
      <c r="F166" s="1">
        <v>0</v>
      </c>
      <c r="G166" s="1">
        <v>0</v>
      </c>
      <c r="H166" s="1">
        <v>0</v>
      </c>
    </row>
    <row r="167" spans="1:8">
      <c r="A167" s="1" t="s">
        <v>165</v>
      </c>
      <c r="B167" s="2">
        <v>0.00696928845718503</v>
      </c>
      <c r="C167" s="1">
        <v>6</v>
      </c>
      <c r="D167" s="1">
        <v>0</v>
      </c>
      <c r="E167" s="1">
        <v>6</v>
      </c>
      <c r="F167" s="1">
        <v>0</v>
      </c>
      <c r="G167" s="1">
        <v>0</v>
      </c>
      <c r="H167" s="1">
        <v>0</v>
      </c>
    </row>
    <row r="168" spans="1:8">
      <c r="A168" s="1" t="s">
        <v>166</v>
      </c>
      <c r="B168" s="2">
        <v>0.00696928845718503</v>
      </c>
      <c r="C168" s="1">
        <v>6</v>
      </c>
      <c r="D168" s="1">
        <v>0</v>
      </c>
      <c r="E168" s="1">
        <v>6</v>
      </c>
      <c r="F168" s="1">
        <v>0</v>
      </c>
      <c r="G168" s="1">
        <v>0</v>
      </c>
      <c r="H168" s="1">
        <v>0</v>
      </c>
    </row>
    <row r="169" spans="1:8">
      <c r="A169" s="1" t="s">
        <v>167</v>
      </c>
      <c r="B169" s="2">
        <v>0.00696928845718503</v>
      </c>
      <c r="C169" s="1">
        <v>6</v>
      </c>
      <c r="D169" s="1">
        <v>0</v>
      </c>
      <c r="E169" s="1">
        <v>6</v>
      </c>
      <c r="F169" s="1">
        <v>0</v>
      </c>
      <c r="G169" s="1">
        <v>0</v>
      </c>
      <c r="H169" s="1">
        <v>0</v>
      </c>
    </row>
    <row r="170" spans="1:8">
      <c r="A170" s="1" t="s">
        <v>168</v>
      </c>
      <c r="B170" s="2">
        <v>0.00696928845718503</v>
      </c>
      <c r="C170" s="1">
        <v>6</v>
      </c>
      <c r="D170" s="1">
        <v>0</v>
      </c>
      <c r="E170" s="1">
        <v>6</v>
      </c>
      <c r="F170" s="1">
        <v>0</v>
      </c>
      <c r="G170" s="1">
        <v>0</v>
      </c>
      <c r="H170" s="1">
        <v>0</v>
      </c>
    </row>
    <row r="171" spans="1:8">
      <c r="A171" s="1" t="s">
        <v>169</v>
      </c>
      <c r="B171" s="2">
        <v>0.00696928845718503</v>
      </c>
      <c r="C171" s="1">
        <v>6</v>
      </c>
      <c r="D171" s="1">
        <v>0</v>
      </c>
      <c r="E171" s="1">
        <v>6</v>
      </c>
      <c r="F171" s="1">
        <v>0</v>
      </c>
      <c r="G171" s="1">
        <v>0</v>
      </c>
      <c r="H171" s="1">
        <v>0</v>
      </c>
    </row>
    <row r="172" spans="1:8">
      <c r="A172" s="1" t="s">
        <v>170</v>
      </c>
      <c r="B172" s="2">
        <v>0.00464619230479002</v>
      </c>
      <c r="C172" s="1">
        <v>4</v>
      </c>
      <c r="D172" s="1">
        <v>0</v>
      </c>
      <c r="E172" s="1">
        <v>4</v>
      </c>
      <c r="F172" s="1">
        <v>0</v>
      </c>
      <c r="G172" s="1">
        <v>0</v>
      </c>
      <c r="H172" s="1">
        <v>0</v>
      </c>
    </row>
    <row r="173" spans="1:8">
      <c r="A173" s="1" t="s">
        <v>171</v>
      </c>
      <c r="B173" s="2">
        <v>0.00464619230479002</v>
      </c>
      <c r="C173" s="1">
        <v>4</v>
      </c>
      <c r="D173" s="1">
        <v>0</v>
      </c>
      <c r="E173" s="1">
        <v>4</v>
      </c>
      <c r="F173" s="1">
        <v>0</v>
      </c>
      <c r="G173" s="1">
        <v>0</v>
      </c>
      <c r="H173" s="1">
        <v>0</v>
      </c>
    </row>
    <row r="174" spans="1:8">
      <c r="A174" s="1" t="s">
        <v>172</v>
      </c>
      <c r="B174" s="2">
        <v>0.00464619230479002</v>
      </c>
      <c r="C174" s="1">
        <v>4</v>
      </c>
      <c r="D174" s="1">
        <v>0</v>
      </c>
      <c r="E174" s="1">
        <v>4</v>
      </c>
      <c r="F174" s="1">
        <v>0</v>
      </c>
      <c r="G174" s="1">
        <v>0</v>
      </c>
      <c r="H174" s="1">
        <v>0</v>
      </c>
    </row>
    <row r="175" spans="1:8">
      <c r="A175" s="1" t="s">
        <v>173</v>
      </c>
      <c r="B175" s="2">
        <v>0.00464619230479002</v>
      </c>
      <c r="C175" s="1">
        <v>4</v>
      </c>
      <c r="D175" s="1">
        <v>0</v>
      </c>
      <c r="E175" s="1">
        <v>4</v>
      </c>
      <c r="F175" s="1">
        <v>0</v>
      </c>
      <c r="G175" s="1">
        <v>0</v>
      </c>
      <c r="H175" s="1">
        <v>0</v>
      </c>
    </row>
    <row r="176" spans="1:8">
      <c r="A176" s="1" t="s">
        <v>174</v>
      </c>
      <c r="B176" s="2">
        <v>0.00232309615239501</v>
      </c>
      <c r="C176" s="1">
        <v>2</v>
      </c>
      <c r="D176" s="1">
        <v>0</v>
      </c>
      <c r="E176" s="1">
        <v>2</v>
      </c>
      <c r="F176" s="1">
        <v>0</v>
      </c>
      <c r="G176" s="1">
        <v>0</v>
      </c>
      <c r="H176" s="1">
        <v>0</v>
      </c>
    </row>
    <row r="177" spans="1:8">
      <c r="A177" s="1" t="s">
        <v>175</v>
      </c>
      <c r="B177" s="2">
        <v>0.00232309615239501</v>
      </c>
      <c r="C177" s="1">
        <v>2</v>
      </c>
      <c r="D177" s="1">
        <v>0</v>
      </c>
      <c r="E177" s="1">
        <v>2</v>
      </c>
      <c r="F177" s="1">
        <v>0</v>
      </c>
      <c r="G177" s="1">
        <v>0</v>
      </c>
      <c r="H177" s="1">
        <v>0</v>
      </c>
    </row>
    <row r="178" spans="1:8">
      <c r="A178" s="1" t="s">
        <v>176</v>
      </c>
      <c r="B178" s="2">
        <v>0.00232309615239501</v>
      </c>
      <c r="C178" s="1">
        <v>2</v>
      </c>
      <c r="D178" s="1">
        <v>0</v>
      </c>
      <c r="E178" s="1">
        <v>2</v>
      </c>
      <c r="F178" s="1">
        <v>0</v>
      </c>
      <c r="G178" s="1">
        <v>0</v>
      </c>
      <c r="H178" s="1">
        <v>0</v>
      </c>
    </row>
    <row r="179" spans="1:8">
      <c r="A179" s="1" t="s">
        <v>177</v>
      </c>
      <c r="B179" s="2">
        <v>0.00232309615239501</v>
      </c>
      <c r="C179" s="1">
        <v>2</v>
      </c>
      <c r="D179" s="1">
        <v>0</v>
      </c>
      <c r="E179" s="1">
        <v>2</v>
      </c>
      <c r="F179" s="1">
        <v>0</v>
      </c>
      <c r="G179" s="1">
        <v>0</v>
      </c>
      <c r="H179" s="1">
        <v>0</v>
      </c>
    </row>
    <row r="180" spans="1:8">
      <c r="A180" s="1" t="s">
        <v>178</v>
      </c>
      <c r="B180" s="2">
        <v>0.00232309615239501</v>
      </c>
      <c r="C180" s="1">
        <v>2</v>
      </c>
      <c r="D180" s="1">
        <v>0</v>
      </c>
      <c r="E180" s="1">
        <v>2</v>
      </c>
      <c r="F180" s="1">
        <v>0</v>
      </c>
      <c r="G180" s="1">
        <v>0</v>
      </c>
      <c r="H180" s="1">
        <v>0</v>
      </c>
    </row>
    <row r="181" spans="1:8">
      <c r="A181" s="1" t="s">
        <v>179</v>
      </c>
      <c r="B181" s="2">
        <v>0.00232309615239501</v>
      </c>
      <c r="C181" s="1">
        <v>2</v>
      </c>
      <c r="D181" s="1">
        <v>0</v>
      </c>
      <c r="E181" s="1">
        <v>2</v>
      </c>
      <c r="F181" s="1">
        <v>0</v>
      </c>
      <c r="G181" s="1">
        <v>0</v>
      </c>
      <c r="H181" s="1">
        <v>0</v>
      </c>
    </row>
    <row r="182" spans="1:8">
      <c r="A182" t="s">
        <v>181</v>
      </c>
      <c r="B182">
        <f>SUBTOTAL(109,[flash_percent])</f>
        <v>0</v>
      </c>
      <c r="C182">
        <f>SUBTOTAL(109,[flash])</f>
        <v>0</v>
      </c>
      <c r="D182">
        <f>SUBTOTAL(109,[ram])</f>
        <v>0</v>
      </c>
      <c r="E182">
        <f>SUBTOTAL(109,[Code])</f>
        <v>0</v>
      </c>
      <c r="F182">
        <f>SUBTOTAL(109,[RO_data])</f>
        <v>0</v>
      </c>
      <c r="G182">
        <f>SUBTOTAL(109,[RW_data])</f>
        <v>0</v>
      </c>
      <c r="H18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2026-05-17T02:11:32Z</dcterms:created>
  <dcterms:modified xsi:type="dcterms:W3CDTF">2026-05-17T02:11:32Z</dcterms:modified>
</cp:coreProperties>
</file>